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OneDrive\Automation project\Data\gl\"/>
    </mc:Choice>
  </mc:AlternateContent>
  <xr:revisionPtr revIDLastSave="0" documentId="13_ncr:1_{6D695EE7-9F5D-401D-8F42-BE96355948FE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definedNames>
    <definedName name="_xlnm._FilterDatabase" localSheetId="0" hidden="1">Sheet1!$A$1:$J$131</definedName>
  </definedNames>
  <calcPr calcId="181029"/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2" i="1"/>
</calcChain>
</file>

<file path=xl/sharedStrings.xml><?xml version="1.0" encoding="utf-8"?>
<sst xmlns="http://schemas.openxmlformats.org/spreadsheetml/2006/main" count="878" uniqueCount="352">
  <si>
    <t>tx_id</t>
  </si>
  <si>
    <t>journal_id</t>
  </si>
  <si>
    <t>date</t>
  </si>
  <si>
    <t>account_code</t>
  </si>
  <si>
    <t>account_description</t>
  </si>
  <si>
    <t>debit</t>
  </si>
  <si>
    <t>credit</t>
  </si>
  <si>
    <t>balance</t>
  </si>
  <si>
    <t>doc_ref</t>
  </si>
  <si>
    <t>narrative</t>
  </si>
  <si>
    <t>JNL-0051-D</t>
  </si>
  <si>
    <t>JNL-0040-D</t>
  </si>
  <si>
    <t>JNL-0029-D</t>
  </si>
  <si>
    <t>JNL-0015-C</t>
  </si>
  <si>
    <t>JNL-0053-D</t>
  </si>
  <si>
    <t>JNL-0042-D</t>
  </si>
  <si>
    <t>JNL-PAY-001-D</t>
  </si>
  <si>
    <t>JNL-0055-D</t>
  </si>
  <si>
    <t>JNL-0010-C</t>
  </si>
  <si>
    <t>JNL-0022-D</t>
  </si>
  <si>
    <t>JNL-0008-C</t>
  </si>
  <si>
    <t>JNL-0026-C</t>
  </si>
  <si>
    <t>JNL-0051-C</t>
  </si>
  <si>
    <t>JNL-0009-D</t>
  </si>
  <si>
    <t>JNL-0039-D</t>
  </si>
  <si>
    <t>JNL-0010-D</t>
  </si>
  <si>
    <t>JNL-0005-C</t>
  </si>
  <si>
    <t>JNL-0067-D</t>
  </si>
  <si>
    <t>JNL-0038-C</t>
  </si>
  <si>
    <t>JNL-0068-C</t>
  </si>
  <si>
    <t>JNL-0074-D</t>
  </si>
  <si>
    <t>JNL-0071-D</t>
  </si>
  <si>
    <t>JNL-0060-C</t>
  </si>
  <si>
    <t>JNL-0043-C</t>
  </si>
  <si>
    <t>JNL-0079-C</t>
  </si>
  <si>
    <t>JNL-0002-D</t>
  </si>
  <si>
    <t>JNL-0060-D</t>
  </si>
  <si>
    <t>JNL-0057-D</t>
  </si>
  <si>
    <t>JNL-0035-D</t>
  </si>
  <si>
    <t>JNL-0067-C</t>
  </si>
  <si>
    <t>JNL-0023-C</t>
  </si>
  <si>
    <t>JNL-0014-D</t>
  </si>
  <si>
    <t>JNL-0072-D</t>
  </si>
  <si>
    <t>JNL-0043-D</t>
  </si>
  <si>
    <t>JNL-0047-C</t>
  </si>
  <si>
    <t>JNL-0019-D</t>
  </si>
  <si>
    <t>JNL-0055-C</t>
  </si>
  <si>
    <t>JNL-0012-D</t>
  </si>
  <si>
    <t>JNL-0046-D</t>
  </si>
  <si>
    <t>JNL-0068-D</t>
  </si>
  <si>
    <t>JNL-0006-C</t>
  </si>
  <si>
    <t>JNL-0065-D</t>
  </si>
  <si>
    <t>JNL-0004-D</t>
  </si>
  <si>
    <t>JNL-0014-C</t>
  </si>
  <si>
    <t>JNL-0074-C</t>
  </si>
  <si>
    <t>JNL-0072-C</t>
  </si>
  <si>
    <t>JNL-0020-D</t>
  </si>
  <si>
    <t>JNL-0021-C</t>
  </si>
  <si>
    <t>JNL-0003-D</t>
  </si>
  <si>
    <t>JNL-0017-D</t>
  </si>
  <si>
    <t>JNL-0033-C</t>
  </si>
  <si>
    <t>JNL-0035-C</t>
  </si>
  <si>
    <t>JNL-0006-D</t>
  </si>
  <si>
    <t>JNL-0050-D</t>
  </si>
  <si>
    <t>JNL-0001-D</t>
  </si>
  <si>
    <t>JNL-0062-C</t>
  </si>
  <si>
    <t>JNL-0058-C</t>
  </si>
  <si>
    <t>JNL-0033-D</t>
  </si>
  <si>
    <t>JNL-0023-D</t>
  </si>
  <si>
    <t>JNL-0015-D</t>
  </si>
  <si>
    <t>JNL-0021-D</t>
  </si>
  <si>
    <t>JNL-0078-C</t>
  </si>
  <si>
    <t>JNL-0012-C</t>
  </si>
  <si>
    <t>JNL-0041-C</t>
  </si>
  <si>
    <t>JNL-0040-C</t>
  </si>
  <si>
    <t>JNL-0020-C</t>
  </si>
  <si>
    <t>JNL-0078-D</t>
  </si>
  <si>
    <t>JNL-0044-D</t>
  </si>
  <si>
    <t>JNL-0059-C</t>
  </si>
  <si>
    <t>JNL-0064-D</t>
  </si>
  <si>
    <t>JNL-0037-C</t>
  </si>
  <si>
    <t>JNL-0017-C</t>
  </si>
  <si>
    <t>JNL-0058-D</t>
  </si>
  <si>
    <t>JNL-0062-D</t>
  </si>
  <si>
    <t>JNL-0073-C</t>
  </si>
  <si>
    <t>JNL-0032-D</t>
  </si>
  <si>
    <t>JNL-0080-C</t>
  </si>
  <si>
    <t>JNL-0053-C</t>
  </si>
  <si>
    <t>JNL-0027-C</t>
  </si>
  <si>
    <t>JNL-0003-C</t>
  </si>
  <si>
    <t>JNL-0061-D</t>
  </si>
  <si>
    <t>JNL-0002-C</t>
  </si>
  <si>
    <t>JNL-0077-C</t>
  </si>
  <si>
    <t>JNL-0025-C</t>
  </si>
  <si>
    <t>JNL-0041-D</t>
  </si>
  <si>
    <t>JNL-0039-C</t>
  </si>
  <si>
    <t>JNL-0004-C</t>
  </si>
  <si>
    <t>JNL-0022-C</t>
  </si>
  <si>
    <t>JNL-0064-C</t>
  </si>
  <si>
    <t>JNL-0046-C</t>
  </si>
  <si>
    <t>JNL-0042-C</t>
  </si>
  <si>
    <t>JNL-0075-D</t>
  </si>
  <si>
    <t>JNL-0076-D</t>
  </si>
  <si>
    <t>JNL-0045-C</t>
  </si>
  <si>
    <t>JNL-0005-D</t>
  </si>
  <si>
    <t>JNL-0080-D</t>
  </si>
  <si>
    <t>JNL-0057-C</t>
  </si>
  <si>
    <t>JNL-0071-C</t>
  </si>
  <si>
    <t>JNL-0009-C</t>
  </si>
  <si>
    <t>JNL-0037-D</t>
  </si>
  <si>
    <t>JNL-0073-D</t>
  </si>
  <si>
    <t>JNL-0077-D</t>
  </si>
  <si>
    <t>JNL-0032-C</t>
  </si>
  <si>
    <t>JNL-0054-C</t>
  </si>
  <si>
    <t>JNL-0026-D</t>
  </si>
  <si>
    <t>JNL-PAY-001-C</t>
  </si>
  <si>
    <t>JNL-0025-D</t>
  </si>
  <si>
    <t>JNL-0045-D</t>
  </si>
  <si>
    <t>JNL-0011-C</t>
  </si>
  <si>
    <t>JNL-0029-C</t>
  </si>
  <si>
    <t>JNL-0065-C</t>
  </si>
  <si>
    <t>JNL-0019-C</t>
  </si>
  <si>
    <t>JNL-0079-D</t>
  </si>
  <si>
    <t>JNL-0001-C</t>
  </si>
  <si>
    <t>JNL-0027-D</t>
  </si>
  <si>
    <t>JNL-0075-C</t>
  </si>
  <si>
    <t>JNL-0076-C</t>
  </si>
  <si>
    <t>JNL-0050-C</t>
  </si>
  <si>
    <t>JNL-0059-D</t>
  </si>
  <si>
    <t>JNL-0044-C</t>
  </si>
  <si>
    <t>JNL-0038-D</t>
  </si>
  <si>
    <t>JNL-0061-C</t>
  </si>
  <si>
    <t>JNL-0011-D</t>
  </si>
  <si>
    <t>JNL-0054-D</t>
  </si>
  <si>
    <t>JNL-0008-D</t>
  </si>
  <si>
    <t>JNL-0047-D</t>
  </si>
  <si>
    <t>JNL-0051</t>
  </si>
  <si>
    <t>JNL-0040</t>
  </si>
  <si>
    <t>JNL-0029</t>
  </si>
  <si>
    <t>JNL-0015</t>
  </si>
  <si>
    <t>JNL-0053</t>
  </si>
  <si>
    <t>JNL-0042</t>
  </si>
  <si>
    <t>JNL-0055</t>
  </si>
  <si>
    <t>JNL-0010</t>
  </si>
  <si>
    <t>JNL-0022</t>
  </si>
  <si>
    <t>JNL-0008</t>
  </si>
  <si>
    <t>JNL-0026</t>
  </si>
  <si>
    <t>JNL-0009</t>
  </si>
  <si>
    <t>JNL-0039</t>
  </si>
  <si>
    <t>JNL-0005</t>
  </si>
  <si>
    <t>JNL-0067</t>
  </si>
  <si>
    <t>JNL-0038</t>
  </si>
  <si>
    <t>JNL-0068</t>
  </si>
  <si>
    <t>JNL-0074</t>
  </si>
  <si>
    <t>JNL-0071</t>
  </si>
  <si>
    <t>JNL-0060</t>
  </si>
  <si>
    <t>JNL-0043</t>
  </si>
  <si>
    <t>JNL-0079</t>
  </si>
  <si>
    <t>JNL-0002</t>
  </si>
  <si>
    <t>JNL-0057</t>
  </si>
  <si>
    <t>JNL-0035</t>
  </si>
  <si>
    <t>JNL-0023</t>
  </si>
  <si>
    <t>JNL-0014</t>
  </si>
  <si>
    <t>JNL-0072</t>
  </si>
  <si>
    <t>JNL-0047</t>
  </si>
  <si>
    <t>JNL-0019</t>
  </si>
  <si>
    <t>JNL-0012</t>
  </si>
  <si>
    <t>JNL-0046</t>
  </si>
  <si>
    <t>JNL-0006</t>
  </si>
  <si>
    <t>JNL-0065</t>
  </si>
  <si>
    <t>JNL-0004</t>
  </si>
  <si>
    <t>JNL-0020</t>
  </si>
  <si>
    <t>JNL-0021</t>
  </si>
  <si>
    <t>JNL-0003</t>
  </si>
  <si>
    <t>JNL-0017</t>
  </si>
  <si>
    <t>JNL-0033</t>
  </si>
  <si>
    <t>JNL-0050</t>
  </si>
  <si>
    <t>JNL-0001</t>
  </si>
  <si>
    <t>JNL-0062</t>
  </si>
  <si>
    <t>JNL-0058</t>
  </si>
  <si>
    <t>JNL-0078</t>
  </si>
  <si>
    <t>JNL-0041</t>
  </si>
  <si>
    <t>JNL-0044</t>
  </si>
  <si>
    <t>JNL-0059</t>
  </si>
  <si>
    <t>JNL-0064</t>
  </si>
  <si>
    <t>JNL-0037</t>
  </si>
  <si>
    <t>JNL-0073</t>
  </si>
  <si>
    <t>JNL-0032</t>
  </si>
  <si>
    <t>JNL-0080</t>
  </si>
  <si>
    <t>JNL-0027</t>
  </si>
  <si>
    <t>JNL-0061</t>
  </si>
  <si>
    <t>JNL-0077</t>
  </si>
  <si>
    <t>JNL-0025</t>
  </si>
  <si>
    <t>JNL-0075</t>
  </si>
  <si>
    <t>JNL-0076</t>
  </si>
  <si>
    <t>JNL-0045</t>
  </si>
  <si>
    <t>JNL-0054</t>
  </si>
  <si>
    <t>JNL-0011</t>
  </si>
  <si>
    <t>2025-09-13</t>
  </si>
  <si>
    <t>2025-08-29</t>
  </si>
  <si>
    <t>2025-08-13</t>
  </si>
  <si>
    <t>2025-08-12</t>
  </si>
  <si>
    <t>2025-09-01</t>
  </si>
  <si>
    <t>2025-09-12</t>
  </si>
  <si>
    <t>2025-08-01</t>
  </si>
  <si>
    <t>2025-08-11</t>
  </si>
  <si>
    <t>2025-08-14</t>
  </si>
  <si>
    <t>2025-08-20</t>
  </si>
  <si>
    <t>2025-08-31</t>
  </si>
  <si>
    <t>2025-08-21</t>
  </si>
  <si>
    <t>2025-08-02</t>
  </si>
  <si>
    <t>2025-09-06</t>
  </si>
  <si>
    <t>2025-09-28</t>
  </si>
  <si>
    <t>2025-09-27</t>
  </si>
  <si>
    <t>2025-09-09</t>
  </si>
  <si>
    <t>2025-09-29</t>
  </si>
  <si>
    <t>2025-08-18</t>
  </si>
  <si>
    <t>2025-08-10</t>
  </si>
  <si>
    <t>2025-08-15</t>
  </si>
  <si>
    <t>2025-09-20</t>
  </si>
  <si>
    <t>2025-09-08</t>
  </si>
  <si>
    <t>2025-08-28</t>
  </si>
  <si>
    <t>2025-09-25</t>
  </si>
  <si>
    <t>2025-09-15</t>
  </si>
  <si>
    <t>2025-08-25</t>
  </si>
  <si>
    <t>2025-08-23</t>
  </si>
  <si>
    <t>2025-09-30</t>
  </si>
  <si>
    <t>2025-09-24</t>
  </si>
  <si>
    <t>2025-09-03</t>
  </si>
  <si>
    <t>2025-09-23</t>
  </si>
  <si>
    <t>2025-08-19</t>
  </si>
  <si>
    <t>2025-09-07</t>
  </si>
  <si>
    <t>2025-08-07</t>
  </si>
  <si>
    <t>2025-09-18</t>
  </si>
  <si>
    <t>2025-09-10</t>
  </si>
  <si>
    <t>2025-09-04</t>
  </si>
  <si>
    <t>2025-09-17</t>
  </si>
  <si>
    <t>4000</t>
  </si>
  <si>
    <t>2000</t>
  </si>
  <si>
    <t>6000</t>
  </si>
  <si>
    <t>3000</t>
  </si>
  <si>
    <t>2010</t>
  </si>
  <si>
    <t>6200</t>
  </si>
  <si>
    <t>6100</t>
  </si>
  <si>
    <t>1700</t>
  </si>
  <si>
    <t>1000</t>
  </si>
  <si>
    <t>1100</t>
  </si>
  <si>
    <t>5000</t>
  </si>
  <si>
    <t>1500</t>
  </si>
  <si>
    <t>Revenue</t>
  </si>
  <si>
    <t>Accounts Payable</t>
  </si>
  <si>
    <t>Operating Expense</t>
  </si>
  <si>
    <t>Equity</t>
  </si>
  <si>
    <t>Accrued Liabilities</t>
  </si>
  <si>
    <t>Payroll Costs</t>
  </si>
  <si>
    <t>Transport Costs</t>
  </si>
  <si>
    <t>Fixed Assets</t>
  </si>
  <si>
    <t>Cash</t>
  </si>
  <si>
    <t>Accounts Receivable</t>
  </si>
  <si>
    <t>Cost of Sales</t>
  </si>
  <si>
    <t>Inventory</t>
  </si>
  <si>
    <t>INV-8792</t>
  </si>
  <si>
    <t>INV-4672</t>
  </si>
  <si>
    <t>INV-2025</t>
  </si>
  <si>
    <t>PAY-6165</t>
  </si>
  <si>
    <t>INV-1763</t>
  </si>
  <si>
    <t>PAY-2025-08-31</t>
  </si>
  <si>
    <t>PAY-8462</t>
  </si>
  <si>
    <t>INV-8391</t>
  </si>
  <si>
    <t>PAY-8178</t>
  </si>
  <si>
    <t>INV-6487</t>
  </si>
  <si>
    <t>PAY-6129</t>
  </si>
  <si>
    <t>PAY-4499</t>
  </si>
  <si>
    <t>PAY-6383</t>
  </si>
  <si>
    <t>INV-2205</t>
  </si>
  <si>
    <t>INV-1390</t>
  </si>
  <si>
    <t>INV-2855</t>
  </si>
  <si>
    <t>INV-3049</t>
  </si>
  <si>
    <t>INV-8657</t>
  </si>
  <si>
    <t>INV-6468</t>
  </si>
  <si>
    <t>INV-1674</t>
  </si>
  <si>
    <t>INV-8627</t>
  </si>
  <si>
    <t>INV-9467</t>
  </si>
  <si>
    <t>PAY-8544</t>
  </si>
  <si>
    <t>PAY-5376</t>
  </si>
  <si>
    <t>INV-1936</t>
  </si>
  <si>
    <t>INV-9106</t>
  </si>
  <si>
    <t>INV-4467</t>
  </si>
  <si>
    <t>INV-2156</t>
  </si>
  <si>
    <t>PAY-9426</t>
  </si>
  <si>
    <t>PAY-6600</t>
  </si>
  <si>
    <t>INV-3865</t>
  </si>
  <si>
    <t>INV-7829</t>
  </si>
  <si>
    <t>INV-3343</t>
  </si>
  <si>
    <t>INV-4643</t>
  </si>
  <si>
    <t>INV-7816</t>
  </si>
  <si>
    <t>INV-4750</t>
  </si>
  <si>
    <t>INV-TR-9001</t>
  </si>
  <si>
    <t>INV-6335</t>
  </si>
  <si>
    <t>INV-2373</t>
  </si>
  <si>
    <t>ADJ-XYZ-007</t>
  </si>
  <si>
    <t>INV-9809</t>
  </si>
  <si>
    <t>INV-2075</t>
  </si>
  <si>
    <t>INV-1704</t>
  </si>
  <si>
    <t>INV-8088</t>
  </si>
  <si>
    <t>Invoice INV-8792 for goods/services</t>
  </si>
  <si>
    <t>Month-end accrual</t>
  </si>
  <si>
    <t>Invoice INV-4672 for goods/services</t>
  </si>
  <si>
    <t>Invoice INV-2025 for goods/services</t>
  </si>
  <si>
    <t>Supplier payment advice</t>
  </si>
  <si>
    <t>Invoice INV-1763 for goods/services</t>
  </si>
  <si>
    <t>Monthly payroll run August 2025</t>
  </si>
  <si>
    <t>General journal allocation</t>
  </si>
  <si>
    <t>Invoice INV-8391 for goods/services</t>
  </si>
  <si>
    <t>Invoice INV-6487 for goods/services</t>
  </si>
  <si>
    <t>Invoice INV-2205 for goods/services</t>
  </si>
  <si>
    <t>Invoice INV-1390 for goods/services</t>
  </si>
  <si>
    <t>Invoice INV-2855 for goods/services</t>
  </si>
  <si>
    <t>Invoice INV-3049 for goods/services</t>
  </si>
  <si>
    <t>Invoice INV-8657 for goods/services</t>
  </si>
  <si>
    <t>Invoice INV-6468 for goods/services</t>
  </si>
  <si>
    <t>Invoice INV-1674 for goods/services</t>
  </si>
  <si>
    <t>Invoice INV-8627 for goods/services</t>
  </si>
  <si>
    <t>Invoice INV-9467 for goods/services</t>
  </si>
  <si>
    <t>Invoice INV-1936 for goods/services</t>
  </si>
  <si>
    <t>Invoice INV-9106 for goods/services</t>
  </si>
  <si>
    <t>Invoice INV-4467 for goods/services</t>
  </si>
  <si>
    <t>Invoice INV-2156 for goods/services</t>
  </si>
  <si>
    <t>Invoice INV-3865 for goods/services</t>
  </si>
  <si>
    <t>Invoice INV-7829 for goods/services</t>
  </si>
  <si>
    <t>Invoice INV-3343 for goods/services</t>
  </si>
  <si>
    <t>Invoice INV-4643 for goods/services</t>
  </si>
  <si>
    <t>Invoice INV-7816 for goods/services</t>
  </si>
  <si>
    <t>Invoice INV-4750 for goods/services</t>
  </si>
  <si>
    <t>Supplier invoice INV-TR-9001</t>
  </si>
  <si>
    <t>Invoice INV-6335 for goods/services</t>
  </si>
  <si>
    <t>Invoice INV-2373 for goods/services</t>
  </si>
  <si>
    <t>TEMP-ADJ: payroll reconciliation discrepancy ??? @@@</t>
  </si>
  <si>
    <t>Invoice INV-9809 for goods/services</t>
  </si>
  <si>
    <t>Invoice INV-2075 for goods/services</t>
  </si>
  <si>
    <t>Invoice INV-1704 for goods/services</t>
  </si>
  <si>
    <t>Invoice INV-8088 for goods/services</t>
  </si>
  <si>
    <t>Bank payment for payroll</t>
  </si>
  <si>
    <t>Accrual created for unexplained payroll variance</t>
  </si>
  <si>
    <t>JNL-T231</t>
  </si>
  <si>
    <t xml:space="preserve">One-off international freight charge </t>
  </si>
  <si>
    <t>JNL-321-001</t>
  </si>
  <si>
    <t>JNL-676</t>
  </si>
  <si>
    <t>JNL-PAY-W-D</t>
  </si>
  <si>
    <t>JNL-PAY-W-C</t>
  </si>
  <si>
    <t>JNL-T2311</t>
  </si>
  <si>
    <t>JNL-T2312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</si>
</sst>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131"/>
  <sheetViews>
    <sheetView tabSelected="1" workbookViewId="0">
      <selection activeCell="A132" sqref="A132"/>
    </sheetView>
  </sheetViews>
  <sheetFormatPr defaultRowHeight="14.4" x14ac:dyDescent="0.55000000000000004"/>
  <sheetData>
    <row r="1" spans="1:10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55000000000000004">
      <c r="A2" t="s">
        <v>10</v>
      </c>
      <c r="B2" t="s">
        <v>136</v>
      </c>
      <c r="C2" t="s">
        <v>198</v>
      </c>
      <c r="D2" t="s">
        <v>237</v>
      </c>
      <c r="E2" t="s">
        <v>249</v>
      </c>
      <c r="F2">
        <v>3151.19</v>
      </c>
      <c r="G2">
        <v>0</v>
      </c>
      <c r="H2">
        <f>F2-G2</f>
        <v>3151.19</v>
      </c>
      <c r="I2" t="s">
        <v>261</v>
      </c>
      <c r="J2" t="s">
        <v>305</v>
      </c>
    </row>
    <row r="3" spans="1:10" hidden="1" x14ac:dyDescent="0.55000000000000004">
      <c r="A3" t="s">
        <v>11</v>
      </c>
      <c r="B3" t="s">
        <v>137</v>
      </c>
      <c r="C3" t="s">
        <v>199</v>
      </c>
      <c r="D3" t="s">
        <v>238</v>
      </c>
      <c r="E3" t="s">
        <v>250</v>
      </c>
      <c r="F3">
        <v>4831.0600000000004</v>
      </c>
      <c r="G3">
        <v>0</v>
      </c>
      <c r="H3">
        <f t="shared" ref="H3:H66" si="0">F3-G3</f>
        <v>4831.0600000000004</v>
      </c>
      <c r="J3" t="s">
        <v>306</v>
      </c>
    </row>
    <row r="4" spans="1:10" hidden="1" x14ac:dyDescent="0.55000000000000004">
      <c r="A4" t="s">
        <v>12</v>
      </c>
      <c r="B4" t="s">
        <v>138</v>
      </c>
      <c r="C4" t="s">
        <v>200</v>
      </c>
      <c r="D4" t="s">
        <v>239</v>
      </c>
      <c r="E4" t="s">
        <v>251</v>
      </c>
      <c r="F4">
        <v>2091.9699999999998</v>
      </c>
      <c r="G4">
        <v>0</v>
      </c>
      <c r="H4">
        <f t="shared" si="0"/>
        <v>2091.9699999999998</v>
      </c>
      <c r="I4" t="s">
        <v>262</v>
      </c>
      <c r="J4" t="s">
        <v>307</v>
      </c>
    </row>
    <row r="5" spans="1:10" hidden="1" x14ac:dyDescent="0.55000000000000004">
      <c r="A5" t="s">
        <v>13</v>
      </c>
      <c r="B5" t="s">
        <v>139</v>
      </c>
      <c r="C5" t="s">
        <v>201</v>
      </c>
      <c r="D5" t="s">
        <v>240</v>
      </c>
      <c r="E5" t="s">
        <v>252</v>
      </c>
      <c r="F5">
        <v>0</v>
      </c>
      <c r="G5">
        <v>7639.64</v>
      </c>
      <c r="H5">
        <f t="shared" si="0"/>
        <v>-7639.64</v>
      </c>
      <c r="I5" t="s">
        <v>263</v>
      </c>
      <c r="J5" t="s">
        <v>308</v>
      </c>
    </row>
    <row r="6" spans="1:10" hidden="1" x14ac:dyDescent="0.55000000000000004">
      <c r="A6" t="s">
        <v>14</v>
      </c>
      <c r="B6" t="s">
        <v>140</v>
      </c>
      <c r="C6" t="s">
        <v>202</v>
      </c>
      <c r="D6" t="s">
        <v>241</v>
      </c>
      <c r="E6" t="s">
        <v>253</v>
      </c>
      <c r="F6">
        <v>2856.4</v>
      </c>
      <c r="G6">
        <v>0</v>
      </c>
      <c r="H6">
        <f t="shared" si="0"/>
        <v>2856.4</v>
      </c>
      <c r="I6" t="s">
        <v>264</v>
      </c>
      <c r="J6" t="s">
        <v>309</v>
      </c>
    </row>
    <row r="7" spans="1:10" hidden="1" x14ac:dyDescent="0.55000000000000004">
      <c r="A7" t="s">
        <v>15</v>
      </c>
      <c r="B7" t="s">
        <v>141</v>
      </c>
      <c r="C7" t="s">
        <v>203</v>
      </c>
      <c r="D7" t="s">
        <v>237</v>
      </c>
      <c r="E7" t="s">
        <v>249</v>
      </c>
      <c r="F7">
        <v>4876.12</v>
      </c>
      <c r="G7">
        <v>0</v>
      </c>
      <c r="H7">
        <f t="shared" si="0"/>
        <v>4876.12</v>
      </c>
      <c r="I7" t="s">
        <v>265</v>
      </c>
      <c r="J7" t="s">
        <v>310</v>
      </c>
    </row>
    <row r="8" spans="1:10" hidden="1" x14ac:dyDescent="0.55000000000000004">
      <c r="A8" t="s">
        <v>16</v>
      </c>
      <c r="B8" t="s">
        <v>346</v>
      </c>
      <c r="C8" t="s">
        <v>204</v>
      </c>
      <c r="D8" t="s">
        <v>242</v>
      </c>
      <c r="E8" t="s">
        <v>254</v>
      </c>
      <c r="F8">
        <v>42000</v>
      </c>
      <c r="G8">
        <v>0</v>
      </c>
      <c r="H8">
        <f t="shared" si="0"/>
        <v>42000</v>
      </c>
      <c r="I8" t="s">
        <v>266</v>
      </c>
      <c r="J8" t="s">
        <v>311</v>
      </c>
    </row>
    <row r="9" spans="1:10" hidden="1" x14ac:dyDescent="0.55000000000000004">
      <c r="A9" t="s">
        <v>17</v>
      </c>
      <c r="B9" t="s">
        <v>142</v>
      </c>
      <c r="C9" t="s">
        <v>198</v>
      </c>
      <c r="D9" t="s">
        <v>237</v>
      </c>
      <c r="E9" t="s">
        <v>249</v>
      </c>
      <c r="F9">
        <v>1052.8699999999999</v>
      </c>
      <c r="G9">
        <v>0</v>
      </c>
      <c r="H9">
        <f t="shared" si="0"/>
        <v>1052.8699999999999</v>
      </c>
      <c r="I9" t="s">
        <v>267</v>
      </c>
      <c r="J9" t="s">
        <v>309</v>
      </c>
    </row>
    <row r="10" spans="1:10" hidden="1" x14ac:dyDescent="0.55000000000000004">
      <c r="A10" t="s">
        <v>18</v>
      </c>
      <c r="B10" t="s">
        <v>143</v>
      </c>
      <c r="C10" t="s">
        <v>205</v>
      </c>
      <c r="D10" t="s">
        <v>237</v>
      </c>
      <c r="E10" t="s">
        <v>249</v>
      </c>
      <c r="F10">
        <v>0</v>
      </c>
      <c r="G10">
        <v>7077.14</v>
      </c>
      <c r="H10">
        <f t="shared" si="0"/>
        <v>-7077.14</v>
      </c>
      <c r="J10" t="s">
        <v>312</v>
      </c>
    </row>
    <row r="11" spans="1:10" hidden="1" x14ac:dyDescent="0.55000000000000004">
      <c r="A11" t="s">
        <v>19</v>
      </c>
      <c r="B11" t="s">
        <v>144</v>
      </c>
      <c r="C11" t="s">
        <v>206</v>
      </c>
      <c r="D11" t="s">
        <v>243</v>
      </c>
      <c r="E11" t="s">
        <v>255</v>
      </c>
      <c r="F11">
        <v>12040.24</v>
      </c>
      <c r="G11">
        <v>0</v>
      </c>
      <c r="H11">
        <f t="shared" si="0"/>
        <v>12040.24</v>
      </c>
      <c r="I11" t="s">
        <v>268</v>
      </c>
      <c r="J11" t="s">
        <v>313</v>
      </c>
    </row>
    <row r="12" spans="1:10" hidden="1" x14ac:dyDescent="0.55000000000000004">
      <c r="A12" t="s">
        <v>20</v>
      </c>
      <c r="B12" t="s">
        <v>145</v>
      </c>
      <c r="C12" t="s">
        <v>207</v>
      </c>
      <c r="D12" t="s">
        <v>240</v>
      </c>
      <c r="E12" t="s">
        <v>252</v>
      </c>
      <c r="F12">
        <v>0</v>
      </c>
      <c r="G12">
        <v>3914.78</v>
      </c>
      <c r="H12">
        <f t="shared" si="0"/>
        <v>-3914.78</v>
      </c>
      <c r="I12" t="s">
        <v>269</v>
      </c>
      <c r="J12" t="s">
        <v>309</v>
      </c>
    </row>
    <row r="13" spans="1:10" hidden="1" x14ac:dyDescent="0.55000000000000004">
      <c r="A13" t="s">
        <v>21</v>
      </c>
      <c r="B13" t="s">
        <v>146</v>
      </c>
      <c r="C13" t="s">
        <v>208</v>
      </c>
      <c r="D13" t="s">
        <v>244</v>
      </c>
      <c r="E13" t="s">
        <v>256</v>
      </c>
      <c r="F13">
        <v>0</v>
      </c>
      <c r="G13">
        <v>7651.21</v>
      </c>
      <c r="H13">
        <f t="shared" si="0"/>
        <v>-7651.21</v>
      </c>
      <c r="J13" t="s">
        <v>312</v>
      </c>
    </row>
    <row r="14" spans="1:10" hidden="1" x14ac:dyDescent="0.55000000000000004">
      <c r="A14" t="s">
        <v>22</v>
      </c>
      <c r="B14" t="s">
        <v>136</v>
      </c>
      <c r="C14" t="s">
        <v>198</v>
      </c>
      <c r="D14" t="s">
        <v>245</v>
      </c>
      <c r="E14" t="s">
        <v>257</v>
      </c>
      <c r="F14">
        <v>0</v>
      </c>
      <c r="G14">
        <v>3151.19</v>
      </c>
      <c r="H14">
        <f t="shared" si="0"/>
        <v>-3151.19</v>
      </c>
      <c r="I14" t="s">
        <v>261</v>
      </c>
      <c r="J14" t="s">
        <v>305</v>
      </c>
    </row>
    <row r="15" spans="1:10" hidden="1" x14ac:dyDescent="0.55000000000000004">
      <c r="A15" t="s">
        <v>23</v>
      </c>
      <c r="B15" t="s">
        <v>147</v>
      </c>
      <c r="C15" t="s">
        <v>209</v>
      </c>
      <c r="D15" t="s">
        <v>237</v>
      </c>
      <c r="E15" t="s">
        <v>249</v>
      </c>
      <c r="F15">
        <v>6570.51</v>
      </c>
      <c r="G15">
        <v>0</v>
      </c>
      <c r="H15">
        <f t="shared" si="0"/>
        <v>6570.51</v>
      </c>
      <c r="I15" t="s">
        <v>270</v>
      </c>
      <c r="J15" t="s">
        <v>314</v>
      </c>
    </row>
    <row r="16" spans="1:10" hidden="1" x14ac:dyDescent="0.55000000000000004">
      <c r="A16" t="s">
        <v>24</v>
      </c>
      <c r="B16" t="s">
        <v>148</v>
      </c>
      <c r="C16" t="s">
        <v>210</v>
      </c>
      <c r="D16" t="s">
        <v>241</v>
      </c>
      <c r="E16" t="s">
        <v>253</v>
      </c>
      <c r="F16">
        <v>4358.2</v>
      </c>
      <c r="G16">
        <v>0</v>
      </c>
      <c r="H16">
        <f t="shared" si="0"/>
        <v>4358.2</v>
      </c>
      <c r="I16" t="s">
        <v>271</v>
      </c>
      <c r="J16" t="s">
        <v>309</v>
      </c>
    </row>
    <row r="17" spans="1:10" hidden="1" x14ac:dyDescent="0.55000000000000004">
      <c r="A17" t="s">
        <v>25</v>
      </c>
      <c r="B17" t="s">
        <v>143</v>
      </c>
      <c r="C17" t="s">
        <v>205</v>
      </c>
      <c r="D17" t="s">
        <v>242</v>
      </c>
      <c r="E17" t="s">
        <v>254</v>
      </c>
      <c r="F17">
        <v>7077.14</v>
      </c>
      <c r="G17">
        <v>0</v>
      </c>
      <c r="H17">
        <f t="shared" si="0"/>
        <v>7077.14</v>
      </c>
      <c r="J17" t="s">
        <v>312</v>
      </c>
    </row>
    <row r="18" spans="1:10" hidden="1" x14ac:dyDescent="0.55000000000000004">
      <c r="A18" t="s">
        <v>26</v>
      </c>
      <c r="B18" t="s">
        <v>149</v>
      </c>
      <c r="C18" t="s">
        <v>204</v>
      </c>
      <c r="D18" t="s">
        <v>238</v>
      </c>
      <c r="E18" t="s">
        <v>250</v>
      </c>
      <c r="F18">
        <v>0</v>
      </c>
      <c r="G18">
        <v>3473.57</v>
      </c>
      <c r="H18">
        <f t="shared" si="0"/>
        <v>-3473.57</v>
      </c>
      <c r="I18" t="s">
        <v>272</v>
      </c>
      <c r="J18" t="s">
        <v>309</v>
      </c>
    </row>
    <row r="19" spans="1:10" hidden="1" x14ac:dyDescent="0.55000000000000004">
      <c r="A19" t="s">
        <v>27</v>
      </c>
      <c r="B19" t="s">
        <v>150</v>
      </c>
      <c r="C19" t="s">
        <v>211</v>
      </c>
      <c r="D19" t="s">
        <v>245</v>
      </c>
      <c r="E19" t="s">
        <v>257</v>
      </c>
      <c r="F19">
        <v>2119.9</v>
      </c>
      <c r="G19">
        <v>0</v>
      </c>
      <c r="H19">
        <f t="shared" si="0"/>
        <v>2119.9</v>
      </c>
      <c r="J19" t="s">
        <v>306</v>
      </c>
    </row>
    <row r="20" spans="1:10" hidden="1" x14ac:dyDescent="0.55000000000000004">
      <c r="A20" t="s">
        <v>28</v>
      </c>
      <c r="B20" t="s">
        <v>151</v>
      </c>
      <c r="C20" t="s">
        <v>208</v>
      </c>
      <c r="D20" t="s">
        <v>243</v>
      </c>
      <c r="E20" t="s">
        <v>255</v>
      </c>
      <c r="F20">
        <v>0</v>
      </c>
      <c r="G20">
        <v>11850.09</v>
      </c>
      <c r="H20">
        <f t="shared" si="0"/>
        <v>-11850.09</v>
      </c>
      <c r="I20" t="s">
        <v>273</v>
      </c>
      <c r="J20" t="s">
        <v>309</v>
      </c>
    </row>
    <row r="21" spans="1:10" hidden="1" x14ac:dyDescent="0.55000000000000004">
      <c r="A21" t="s">
        <v>29</v>
      </c>
      <c r="B21" t="s">
        <v>152</v>
      </c>
      <c r="C21" t="s">
        <v>211</v>
      </c>
      <c r="D21" t="s">
        <v>246</v>
      </c>
      <c r="E21" t="s">
        <v>258</v>
      </c>
      <c r="F21">
        <v>0</v>
      </c>
      <c r="G21">
        <v>7999.31</v>
      </c>
      <c r="H21">
        <f t="shared" si="0"/>
        <v>-7999.31</v>
      </c>
      <c r="I21" t="s">
        <v>274</v>
      </c>
      <c r="J21" t="s">
        <v>315</v>
      </c>
    </row>
    <row r="22" spans="1:10" hidden="1" x14ac:dyDescent="0.55000000000000004">
      <c r="A22" t="s">
        <v>30</v>
      </c>
      <c r="B22" t="s">
        <v>153</v>
      </c>
      <c r="C22" t="s">
        <v>211</v>
      </c>
      <c r="D22" t="s">
        <v>240</v>
      </c>
      <c r="E22" t="s">
        <v>252</v>
      </c>
      <c r="F22">
        <v>3399.36</v>
      </c>
      <c r="G22">
        <v>0</v>
      </c>
      <c r="H22">
        <f t="shared" si="0"/>
        <v>3399.36</v>
      </c>
      <c r="I22" t="s">
        <v>275</v>
      </c>
      <c r="J22" t="s">
        <v>316</v>
      </c>
    </row>
    <row r="23" spans="1:10" hidden="1" x14ac:dyDescent="0.55000000000000004">
      <c r="A23" t="s">
        <v>31</v>
      </c>
      <c r="B23" t="s">
        <v>154</v>
      </c>
      <c r="C23" t="s">
        <v>212</v>
      </c>
      <c r="D23" t="s">
        <v>237</v>
      </c>
      <c r="E23" t="s">
        <v>249</v>
      </c>
      <c r="F23">
        <v>5280.68</v>
      </c>
      <c r="G23">
        <v>0</v>
      </c>
      <c r="H23">
        <f t="shared" si="0"/>
        <v>5280.68</v>
      </c>
      <c r="I23" t="s">
        <v>276</v>
      </c>
      <c r="J23" t="s">
        <v>317</v>
      </c>
    </row>
    <row r="24" spans="1:10" hidden="1" x14ac:dyDescent="0.55000000000000004">
      <c r="A24" t="s">
        <v>32</v>
      </c>
      <c r="B24" t="s">
        <v>155</v>
      </c>
      <c r="C24" t="s">
        <v>213</v>
      </c>
      <c r="D24" t="s">
        <v>244</v>
      </c>
      <c r="E24" t="s">
        <v>256</v>
      </c>
      <c r="F24">
        <v>0</v>
      </c>
      <c r="G24">
        <v>18252.5</v>
      </c>
      <c r="H24">
        <f t="shared" si="0"/>
        <v>-18252.5</v>
      </c>
      <c r="I24" t="s">
        <v>277</v>
      </c>
      <c r="J24" t="s">
        <v>318</v>
      </c>
    </row>
    <row r="25" spans="1:10" hidden="1" x14ac:dyDescent="0.55000000000000004">
      <c r="A25" t="s">
        <v>33</v>
      </c>
      <c r="B25" t="s">
        <v>156</v>
      </c>
      <c r="C25" t="s">
        <v>214</v>
      </c>
      <c r="D25" t="s">
        <v>244</v>
      </c>
      <c r="E25" t="s">
        <v>256</v>
      </c>
      <c r="F25">
        <v>0</v>
      </c>
      <c r="G25">
        <v>6122.66</v>
      </c>
      <c r="H25">
        <f t="shared" si="0"/>
        <v>-6122.66</v>
      </c>
      <c r="I25" t="s">
        <v>278</v>
      </c>
      <c r="J25" t="s">
        <v>319</v>
      </c>
    </row>
    <row r="26" spans="1:10" hidden="1" x14ac:dyDescent="0.55000000000000004">
      <c r="A26" t="s">
        <v>34</v>
      </c>
      <c r="B26" t="s">
        <v>157</v>
      </c>
      <c r="C26" t="s">
        <v>215</v>
      </c>
      <c r="D26" t="s">
        <v>240</v>
      </c>
      <c r="E26" t="s">
        <v>252</v>
      </c>
      <c r="F26">
        <v>0</v>
      </c>
      <c r="G26">
        <v>3619.36</v>
      </c>
      <c r="H26">
        <f t="shared" si="0"/>
        <v>-3619.36</v>
      </c>
      <c r="J26" t="s">
        <v>306</v>
      </c>
    </row>
    <row r="27" spans="1:10" hidden="1" x14ac:dyDescent="0.55000000000000004">
      <c r="A27" t="s">
        <v>35</v>
      </c>
      <c r="B27" t="s">
        <v>158</v>
      </c>
      <c r="C27" t="s">
        <v>216</v>
      </c>
      <c r="D27" t="s">
        <v>245</v>
      </c>
      <c r="E27" t="s">
        <v>257</v>
      </c>
      <c r="F27">
        <v>2759.35</v>
      </c>
      <c r="G27">
        <v>0</v>
      </c>
      <c r="H27">
        <f t="shared" si="0"/>
        <v>2759.35</v>
      </c>
      <c r="I27" t="s">
        <v>279</v>
      </c>
      <c r="J27" t="s">
        <v>320</v>
      </c>
    </row>
    <row r="28" spans="1:10" hidden="1" x14ac:dyDescent="0.55000000000000004">
      <c r="A28" t="s">
        <v>36</v>
      </c>
      <c r="B28" t="s">
        <v>155</v>
      </c>
      <c r="C28" t="s">
        <v>213</v>
      </c>
      <c r="D28" t="s">
        <v>246</v>
      </c>
      <c r="E28" t="s">
        <v>258</v>
      </c>
      <c r="F28">
        <v>18252.5</v>
      </c>
      <c r="G28">
        <v>0</v>
      </c>
      <c r="H28">
        <f t="shared" si="0"/>
        <v>18252.5</v>
      </c>
      <c r="I28" t="s">
        <v>277</v>
      </c>
      <c r="J28" t="s">
        <v>318</v>
      </c>
    </row>
    <row r="29" spans="1:10" hidden="1" x14ac:dyDescent="0.55000000000000004">
      <c r="A29" t="s">
        <v>37</v>
      </c>
      <c r="B29" t="s">
        <v>159</v>
      </c>
      <c r="C29" t="s">
        <v>198</v>
      </c>
      <c r="D29" t="s">
        <v>237</v>
      </c>
      <c r="E29" t="s">
        <v>249</v>
      </c>
      <c r="F29">
        <v>12275.46</v>
      </c>
      <c r="G29">
        <v>0</v>
      </c>
      <c r="H29">
        <f t="shared" si="0"/>
        <v>12275.46</v>
      </c>
      <c r="I29" t="s">
        <v>280</v>
      </c>
      <c r="J29" t="s">
        <v>321</v>
      </c>
    </row>
    <row r="30" spans="1:10" hidden="1" x14ac:dyDescent="0.55000000000000004">
      <c r="A30" t="s">
        <v>38</v>
      </c>
      <c r="B30" t="s">
        <v>160</v>
      </c>
      <c r="C30" t="s">
        <v>205</v>
      </c>
      <c r="D30" t="s">
        <v>239</v>
      </c>
      <c r="E30" t="s">
        <v>251</v>
      </c>
      <c r="F30">
        <v>15708.78</v>
      </c>
      <c r="G30">
        <v>0</v>
      </c>
      <c r="H30">
        <f t="shared" si="0"/>
        <v>15708.78</v>
      </c>
      <c r="I30" t="s">
        <v>281</v>
      </c>
      <c r="J30" t="s">
        <v>322</v>
      </c>
    </row>
    <row r="31" spans="1:10" hidden="1" x14ac:dyDescent="0.55000000000000004">
      <c r="A31" t="s">
        <v>39</v>
      </c>
      <c r="B31" t="s">
        <v>150</v>
      </c>
      <c r="C31" t="s">
        <v>211</v>
      </c>
      <c r="D31" t="s">
        <v>243</v>
      </c>
      <c r="E31" t="s">
        <v>255</v>
      </c>
      <c r="F31">
        <v>0</v>
      </c>
      <c r="G31">
        <v>2119.9</v>
      </c>
      <c r="H31">
        <f t="shared" si="0"/>
        <v>-2119.9</v>
      </c>
      <c r="J31" t="s">
        <v>306</v>
      </c>
    </row>
    <row r="32" spans="1:10" hidden="1" x14ac:dyDescent="0.55000000000000004">
      <c r="A32" t="s">
        <v>40</v>
      </c>
      <c r="B32" t="s">
        <v>161</v>
      </c>
      <c r="C32" t="s">
        <v>217</v>
      </c>
      <c r="D32" t="s">
        <v>247</v>
      </c>
      <c r="E32" t="s">
        <v>259</v>
      </c>
      <c r="F32">
        <v>0</v>
      </c>
      <c r="G32">
        <v>6205.87</v>
      </c>
      <c r="H32">
        <f t="shared" si="0"/>
        <v>-6205.87</v>
      </c>
      <c r="I32" t="s">
        <v>282</v>
      </c>
      <c r="J32" t="s">
        <v>323</v>
      </c>
    </row>
    <row r="33" spans="1:10" hidden="1" x14ac:dyDescent="0.55000000000000004">
      <c r="A33" t="s">
        <v>41</v>
      </c>
      <c r="B33" t="s">
        <v>162</v>
      </c>
      <c r="C33" t="s">
        <v>218</v>
      </c>
      <c r="D33" t="s">
        <v>245</v>
      </c>
      <c r="E33" t="s">
        <v>257</v>
      </c>
      <c r="F33">
        <v>3717.3</v>
      </c>
      <c r="G33">
        <v>0</v>
      </c>
      <c r="H33">
        <f t="shared" si="0"/>
        <v>3717.3</v>
      </c>
      <c r="I33" t="s">
        <v>283</v>
      </c>
      <c r="J33" t="s">
        <v>309</v>
      </c>
    </row>
    <row r="34" spans="1:10" hidden="1" x14ac:dyDescent="0.55000000000000004">
      <c r="A34" t="s">
        <v>42</v>
      </c>
      <c r="B34" t="s">
        <v>163</v>
      </c>
      <c r="C34" t="s">
        <v>219</v>
      </c>
      <c r="D34" t="s">
        <v>240</v>
      </c>
      <c r="E34" t="s">
        <v>252</v>
      </c>
      <c r="F34">
        <v>6150.43</v>
      </c>
      <c r="G34">
        <v>0</v>
      </c>
      <c r="H34">
        <f t="shared" si="0"/>
        <v>6150.43</v>
      </c>
      <c r="J34" t="s">
        <v>312</v>
      </c>
    </row>
    <row r="35" spans="1:10" hidden="1" x14ac:dyDescent="0.55000000000000004">
      <c r="A35" t="s">
        <v>43</v>
      </c>
      <c r="B35" t="s">
        <v>156</v>
      </c>
      <c r="C35" t="s">
        <v>214</v>
      </c>
      <c r="D35" t="s">
        <v>247</v>
      </c>
      <c r="E35" t="s">
        <v>259</v>
      </c>
      <c r="F35">
        <v>6122.66</v>
      </c>
      <c r="G35">
        <v>0</v>
      </c>
      <c r="H35">
        <f t="shared" si="0"/>
        <v>6122.66</v>
      </c>
      <c r="I35" t="s">
        <v>278</v>
      </c>
      <c r="J35" t="s">
        <v>319</v>
      </c>
    </row>
    <row r="36" spans="1:10" hidden="1" x14ac:dyDescent="0.55000000000000004">
      <c r="A36" t="s">
        <v>44</v>
      </c>
      <c r="B36" t="s">
        <v>164</v>
      </c>
      <c r="C36" t="s">
        <v>220</v>
      </c>
      <c r="D36" t="s">
        <v>246</v>
      </c>
      <c r="E36" t="s">
        <v>258</v>
      </c>
      <c r="F36">
        <v>0</v>
      </c>
      <c r="G36">
        <v>1993.61</v>
      </c>
      <c r="H36">
        <f t="shared" si="0"/>
        <v>-1993.61</v>
      </c>
      <c r="I36" t="s">
        <v>284</v>
      </c>
      <c r="J36" t="s">
        <v>309</v>
      </c>
    </row>
    <row r="37" spans="1:10" hidden="1" x14ac:dyDescent="0.55000000000000004">
      <c r="A37" t="s">
        <v>45</v>
      </c>
      <c r="B37" t="s">
        <v>165</v>
      </c>
      <c r="C37" t="s">
        <v>221</v>
      </c>
      <c r="D37" t="s">
        <v>244</v>
      </c>
      <c r="E37" t="s">
        <v>256</v>
      </c>
      <c r="F37">
        <v>3008.27</v>
      </c>
      <c r="G37">
        <v>0</v>
      </c>
      <c r="H37">
        <f t="shared" si="0"/>
        <v>3008.27</v>
      </c>
      <c r="I37" t="s">
        <v>285</v>
      </c>
      <c r="J37" t="s">
        <v>324</v>
      </c>
    </row>
    <row r="38" spans="1:10" hidden="1" x14ac:dyDescent="0.55000000000000004">
      <c r="A38" t="s">
        <v>46</v>
      </c>
      <c r="B38" t="s">
        <v>142</v>
      </c>
      <c r="C38" t="s">
        <v>198</v>
      </c>
      <c r="D38" t="s">
        <v>248</v>
      </c>
      <c r="E38" t="s">
        <v>260</v>
      </c>
      <c r="F38">
        <v>0</v>
      </c>
      <c r="G38">
        <v>1052.8699999999999</v>
      </c>
      <c r="H38">
        <f t="shared" si="0"/>
        <v>-1052.8699999999999</v>
      </c>
      <c r="I38" t="s">
        <v>267</v>
      </c>
      <c r="J38" t="s">
        <v>309</v>
      </c>
    </row>
    <row r="39" spans="1:10" hidden="1" x14ac:dyDescent="0.55000000000000004">
      <c r="A39" t="s">
        <v>47</v>
      </c>
      <c r="B39" t="s">
        <v>166</v>
      </c>
      <c r="C39" t="s">
        <v>216</v>
      </c>
      <c r="D39" t="s">
        <v>245</v>
      </c>
      <c r="E39" t="s">
        <v>257</v>
      </c>
      <c r="F39">
        <v>6601.52</v>
      </c>
      <c r="G39">
        <v>0</v>
      </c>
      <c r="H39">
        <f t="shared" si="0"/>
        <v>6601.52</v>
      </c>
      <c r="I39" t="s">
        <v>286</v>
      </c>
      <c r="J39" t="s">
        <v>325</v>
      </c>
    </row>
    <row r="40" spans="1:10" hidden="1" x14ac:dyDescent="0.55000000000000004">
      <c r="A40" t="s">
        <v>48</v>
      </c>
      <c r="B40" t="s">
        <v>167</v>
      </c>
      <c r="C40" t="s">
        <v>222</v>
      </c>
      <c r="D40" t="s">
        <v>248</v>
      </c>
      <c r="E40" t="s">
        <v>260</v>
      </c>
      <c r="F40">
        <v>4162.47</v>
      </c>
      <c r="G40">
        <v>0</v>
      </c>
      <c r="H40">
        <f t="shared" si="0"/>
        <v>4162.47</v>
      </c>
      <c r="I40" t="s">
        <v>287</v>
      </c>
      <c r="J40" t="s">
        <v>326</v>
      </c>
    </row>
    <row r="41" spans="1:10" hidden="1" x14ac:dyDescent="0.55000000000000004">
      <c r="A41" t="s">
        <v>49</v>
      </c>
      <c r="B41" t="s">
        <v>152</v>
      </c>
      <c r="C41" t="s">
        <v>211</v>
      </c>
      <c r="D41" t="s">
        <v>239</v>
      </c>
      <c r="E41" t="s">
        <v>251</v>
      </c>
      <c r="F41">
        <v>7999.31</v>
      </c>
      <c r="G41">
        <v>0</v>
      </c>
      <c r="H41">
        <f t="shared" si="0"/>
        <v>7999.31</v>
      </c>
      <c r="I41" t="s">
        <v>274</v>
      </c>
      <c r="J41" t="s">
        <v>315</v>
      </c>
    </row>
    <row r="42" spans="1:10" hidden="1" x14ac:dyDescent="0.55000000000000004">
      <c r="A42" t="s">
        <v>50</v>
      </c>
      <c r="B42" t="s">
        <v>168</v>
      </c>
      <c r="C42" t="s">
        <v>205</v>
      </c>
      <c r="D42" t="s">
        <v>243</v>
      </c>
      <c r="E42" t="s">
        <v>255</v>
      </c>
      <c r="F42">
        <v>0</v>
      </c>
      <c r="G42">
        <v>3889.54</v>
      </c>
      <c r="H42">
        <f t="shared" si="0"/>
        <v>-3889.54</v>
      </c>
      <c r="J42" t="s">
        <v>306</v>
      </c>
    </row>
    <row r="43" spans="1:10" hidden="1" x14ac:dyDescent="0.55000000000000004">
      <c r="A43" t="s">
        <v>51</v>
      </c>
      <c r="B43" t="s">
        <v>169</v>
      </c>
      <c r="C43" t="s">
        <v>223</v>
      </c>
      <c r="D43" t="s">
        <v>242</v>
      </c>
      <c r="E43" t="s">
        <v>254</v>
      </c>
      <c r="F43">
        <v>5880.78</v>
      </c>
      <c r="G43">
        <v>0</v>
      </c>
      <c r="H43">
        <f t="shared" si="0"/>
        <v>5880.78</v>
      </c>
      <c r="I43" t="s">
        <v>288</v>
      </c>
      <c r="J43" t="s">
        <v>327</v>
      </c>
    </row>
    <row r="44" spans="1:10" hidden="1" x14ac:dyDescent="0.55000000000000004">
      <c r="A44" t="s">
        <v>52</v>
      </c>
      <c r="B44" t="s">
        <v>170</v>
      </c>
      <c r="C44" t="s">
        <v>205</v>
      </c>
      <c r="D44" t="s">
        <v>245</v>
      </c>
      <c r="E44" t="s">
        <v>257</v>
      </c>
      <c r="F44">
        <v>861.19</v>
      </c>
      <c r="G44">
        <v>0</v>
      </c>
      <c r="H44">
        <f t="shared" si="0"/>
        <v>861.19</v>
      </c>
      <c r="I44" t="s">
        <v>289</v>
      </c>
      <c r="J44" t="s">
        <v>309</v>
      </c>
    </row>
    <row r="45" spans="1:10" hidden="1" x14ac:dyDescent="0.55000000000000004">
      <c r="A45" t="s">
        <v>53</v>
      </c>
      <c r="B45" t="s">
        <v>162</v>
      </c>
      <c r="C45" t="s">
        <v>218</v>
      </c>
      <c r="D45" t="s">
        <v>248</v>
      </c>
      <c r="E45" t="s">
        <v>260</v>
      </c>
      <c r="F45">
        <v>0</v>
      </c>
      <c r="G45">
        <v>3717.3</v>
      </c>
      <c r="H45">
        <f t="shared" si="0"/>
        <v>-3717.3</v>
      </c>
      <c r="I45" t="s">
        <v>283</v>
      </c>
      <c r="J45" t="s">
        <v>309</v>
      </c>
    </row>
    <row r="46" spans="1:10" hidden="1" x14ac:dyDescent="0.55000000000000004">
      <c r="A46" t="s">
        <v>54</v>
      </c>
      <c r="B46" t="s">
        <v>153</v>
      </c>
      <c r="C46" t="s">
        <v>211</v>
      </c>
      <c r="D46" t="s">
        <v>238</v>
      </c>
      <c r="E46" t="s">
        <v>250</v>
      </c>
      <c r="F46">
        <v>0</v>
      </c>
      <c r="G46">
        <v>3399.36</v>
      </c>
      <c r="H46">
        <f t="shared" si="0"/>
        <v>-3399.36</v>
      </c>
      <c r="I46" t="s">
        <v>275</v>
      </c>
      <c r="J46" t="s">
        <v>316</v>
      </c>
    </row>
    <row r="47" spans="1:10" hidden="1" x14ac:dyDescent="0.55000000000000004">
      <c r="A47" t="s">
        <v>55</v>
      </c>
      <c r="B47" t="s">
        <v>163</v>
      </c>
      <c r="C47" t="s">
        <v>219</v>
      </c>
      <c r="D47" t="s">
        <v>241</v>
      </c>
      <c r="E47" t="s">
        <v>253</v>
      </c>
      <c r="F47">
        <v>0</v>
      </c>
      <c r="G47">
        <v>6150.43</v>
      </c>
      <c r="H47">
        <f t="shared" si="0"/>
        <v>-6150.43</v>
      </c>
      <c r="J47" t="s">
        <v>312</v>
      </c>
    </row>
    <row r="48" spans="1:10" hidden="1" x14ac:dyDescent="0.55000000000000004">
      <c r="A48" t="s">
        <v>56</v>
      </c>
      <c r="B48" t="s">
        <v>171</v>
      </c>
      <c r="C48" t="s">
        <v>224</v>
      </c>
      <c r="D48" t="s">
        <v>248</v>
      </c>
      <c r="E48" t="s">
        <v>260</v>
      </c>
      <c r="F48">
        <v>4323.41</v>
      </c>
      <c r="G48">
        <v>0</v>
      </c>
      <c r="H48">
        <f t="shared" si="0"/>
        <v>4323.41</v>
      </c>
      <c r="J48" t="s">
        <v>306</v>
      </c>
    </row>
    <row r="49" spans="1:10" hidden="1" x14ac:dyDescent="0.55000000000000004">
      <c r="A49" t="s">
        <v>57</v>
      </c>
      <c r="B49" t="s">
        <v>172</v>
      </c>
      <c r="C49" t="s">
        <v>201</v>
      </c>
      <c r="D49" t="s">
        <v>246</v>
      </c>
      <c r="E49" t="s">
        <v>258</v>
      </c>
      <c r="F49">
        <v>0</v>
      </c>
      <c r="G49">
        <v>7800.69</v>
      </c>
      <c r="H49">
        <f t="shared" si="0"/>
        <v>-7800.69</v>
      </c>
      <c r="J49" t="s">
        <v>306</v>
      </c>
    </row>
    <row r="50" spans="1:10" hidden="1" x14ac:dyDescent="0.55000000000000004">
      <c r="A50" t="s">
        <v>58</v>
      </c>
      <c r="B50" t="s">
        <v>173</v>
      </c>
      <c r="C50" t="s">
        <v>225</v>
      </c>
      <c r="D50" t="s">
        <v>240</v>
      </c>
      <c r="E50" t="s">
        <v>252</v>
      </c>
      <c r="F50">
        <v>63.28</v>
      </c>
      <c r="G50">
        <v>0</v>
      </c>
      <c r="H50">
        <f t="shared" si="0"/>
        <v>63.28</v>
      </c>
      <c r="J50" t="s">
        <v>312</v>
      </c>
    </row>
    <row r="51" spans="1:10" hidden="1" x14ac:dyDescent="0.55000000000000004">
      <c r="A51" t="s">
        <v>59</v>
      </c>
      <c r="B51" t="s">
        <v>174</v>
      </c>
      <c r="C51" t="s">
        <v>225</v>
      </c>
      <c r="D51" t="s">
        <v>241</v>
      </c>
      <c r="E51" t="s">
        <v>253</v>
      </c>
      <c r="F51">
        <v>281.64</v>
      </c>
      <c r="G51">
        <v>0</v>
      </c>
      <c r="H51">
        <f t="shared" si="0"/>
        <v>281.64</v>
      </c>
      <c r="I51" t="s">
        <v>290</v>
      </c>
      <c r="J51" t="s">
        <v>309</v>
      </c>
    </row>
    <row r="52" spans="1:10" hidden="1" x14ac:dyDescent="0.55000000000000004">
      <c r="A52" t="s">
        <v>60</v>
      </c>
      <c r="B52" t="s">
        <v>175</v>
      </c>
      <c r="C52" t="s">
        <v>200</v>
      </c>
      <c r="D52" t="s">
        <v>247</v>
      </c>
      <c r="E52" t="s">
        <v>259</v>
      </c>
      <c r="F52">
        <v>0</v>
      </c>
      <c r="G52">
        <v>546.41999999999996</v>
      </c>
      <c r="H52">
        <f t="shared" si="0"/>
        <v>-546.41999999999996</v>
      </c>
      <c r="I52" t="s">
        <v>291</v>
      </c>
      <c r="J52" t="s">
        <v>328</v>
      </c>
    </row>
    <row r="53" spans="1:10" hidden="1" x14ac:dyDescent="0.55000000000000004">
      <c r="A53" t="s">
        <v>61</v>
      </c>
      <c r="B53" t="s">
        <v>160</v>
      </c>
      <c r="C53" t="s">
        <v>205</v>
      </c>
      <c r="D53" t="s">
        <v>240</v>
      </c>
      <c r="E53" t="s">
        <v>252</v>
      </c>
      <c r="F53">
        <v>0</v>
      </c>
      <c r="G53">
        <v>15708.78</v>
      </c>
      <c r="H53">
        <f t="shared" si="0"/>
        <v>-15708.78</v>
      </c>
      <c r="I53" t="s">
        <v>281</v>
      </c>
      <c r="J53" t="s">
        <v>322</v>
      </c>
    </row>
    <row r="54" spans="1:10" hidden="1" x14ac:dyDescent="0.55000000000000004">
      <c r="A54" t="s">
        <v>62</v>
      </c>
      <c r="B54" t="s">
        <v>168</v>
      </c>
      <c r="C54" t="s">
        <v>205</v>
      </c>
      <c r="D54" t="s">
        <v>239</v>
      </c>
      <c r="E54" t="s">
        <v>251</v>
      </c>
      <c r="F54">
        <v>3889.54</v>
      </c>
      <c r="G54">
        <v>0</v>
      </c>
      <c r="H54">
        <f t="shared" si="0"/>
        <v>3889.54</v>
      </c>
      <c r="J54" t="s">
        <v>306</v>
      </c>
    </row>
    <row r="55" spans="1:10" hidden="1" x14ac:dyDescent="0.55000000000000004">
      <c r="A55" t="s">
        <v>63</v>
      </c>
      <c r="B55" t="s">
        <v>176</v>
      </c>
      <c r="C55" t="s">
        <v>202</v>
      </c>
      <c r="D55" t="s">
        <v>237</v>
      </c>
      <c r="E55" t="s">
        <v>249</v>
      </c>
      <c r="F55">
        <v>6299.31</v>
      </c>
      <c r="G55">
        <v>0</v>
      </c>
      <c r="H55">
        <f t="shared" si="0"/>
        <v>6299.31</v>
      </c>
      <c r="J55" t="s">
        <v>306</v>
      </c>
    </row>
    <row r="56" spans="1:10" hidden="1" x14ac:dyDescent="0.55000000000000004">
      <c r="A56" t="s">
        <v>64</v>
      </c>
      <c r="B56" t="s">
        <v>177</v>
      </c>
      <c r="C56" t="s">
        <v>210</v>
      </c>
      <c r="D56" t="s">
        <v>238</v>
      </c>
      <c r="E56" t="s">
        <v>250</v>
      </c>
      <c r="F56">
        <v>6163.2</v>
      </c>
      <c r="G56">
        <v>0</v>
      </c>
      <c r="H56">
        <f t="shared" si="0"/>
        <v>6163.2</v>
      </c>
      <c r="J56" t="s">
        <v>306</v>
      </c>
    </row>
    <row r="57" spans="1:10" hidden="1" x14ac:dyDescent="0.55000000000000004">
      <c r="A57" t="s">
        <v>65</v>
      </c>
      <c r="B57" t="s">
        <v>178</v>
      </c>
      <c r="C57" t="s">
        <v>226</v>
      </c>
      <c r="D57" t="s">
        <v>243</v>
      </c>
      <c r="E57" t="s">
        <v>255</v>
      </c>
      <c r="F57">
        <v>0</v>
      </c>
      <c r="G57">
        <v>7876.34</v>
      </c>
      <c r="H57">
        <f t="shared" si="0"/>
        <v>-7876.34</v>
      </c>
      <c r="I57" t="s">
        <v>292</v>
      </c>
      <c r="J57" t="s">
        <v>329</v>
      </c>
    </row>
    <row r="58" spans="1:10" hidden="1" x14ac:dyDescent="0.55000000000000004">
      <c r="A58" t="s">
        <v>66</v>
      </c>
      <c r="B58" t="s">
        <v>179</v>
      </c>
      <c r="C58" t="s">
        <v>203</v>
      </c>
      <c r="D58" t="s">
        <v>240</v>
      </c>
      <c r="E58" t="s">
        <v>252</v>
      </c>
      <c r="F58">
        <v>0</v>
      </c>
      <c r="G58">
        <v>6505.55</v>
      </c>
      <c r="H58">
        <f t="shared" si="0"/>
        <v>-6505.55</v>
      </c>
      <c r="I58" t="s">
        <v>293</v>
      </c>
      <c r="J58" t="s">
        <v>330</v>
      </c>
    </row>
    <row r="59" spans="1:10" hidden="1" x14ac:dyDescent="0.55000000000000004">
      <c r="A59" t="s">
        <v>67</v>
      </c>
      <c r="B59" t="s">
        <v>175</v>
      </c>
      <c r="C59" t="s">
        <v>200</v>
      </c>
      <c r="D59" t="s">
        <v>240</v>
      </c>
      <c r="E59" t="s">
        <v>252</v>
      </c>
      <c r="F59">
        <v>546.41999999999996</v>
      </c>
      <c r="G59">
        <v>0</v>
      </c>
      <c r="H59">
        <f t="shared" si="0"/>
        <v>546.41999999999996</v>
      </c>
      <c r="I59" t="s">
        <v>291</v>
      </c>
      <c r="J59" t="s">
        <v>328</v>
      </c>
    </row>
    <row r="60" spans="1:10" hidden="1" x14ac:dyDescent="0.55000000000000004">
      <c r="A60" t="s">
        <v>68</v>
      </c>
      <c r="B60" t="s">
        <v>161</v>
      </c>
      <c r="C60" t="s">
        <v>217</v>
      </c>
      <c r="D60" t="s">
        <v>248</v>
      </c>
      <c r="E60" t="s">
        <v>260</v>
      </c>
      <c r="F60">
        <v>6205.87</v>
      </c>
      <c r="G60">
        <v>0</v>
      </c>
      <c r="H60">
        <f t="shared" si="0"/>
        <v>6205.87</v>
      </c>
      <c r="I60" t="s">
        <v>282</v>
      </c>
      <c r="J60" t="s">
        <v>323</v>
      </c>
    </row>
    <row r="61" spans="1:10" hidden="1" x14ac:dyDescent="0.55000000000000004">
      <c r="A61" t="s">
        <v>69</v>
      </c>
      <c r="B61" t="s">
        <v>139</v>
      </c>
      <c r="C61" t="s">
        <v>201</v>
      </c>
      <c r="D61" t="s">
        <v>243</v>
      </c>
      <c r="E61" t="s">
        <v>255</v>
      </c>
      <c r="F61">
        <v>7639.64</v>
      </c>
      <c r="G61">
        <v>0</v>
      </c>
      <c r="H61">
        <f t="shared" si="0"/>
        <v>7639.64</v>
      </c>
      <c r="I61" t="s">
        <v>263</v>
      </c>
      <c r="J61" t="s">
        <v>308</v>
      </c>
    </row>
    <row r="62" spans="1:10" hidden="1" x14ac:dyDescent="0.55000000000000004">
      <c r="A62" t="s">
        <v>70</v>
      </c>
      <c r="B62" t="s">
        <v>172</v>
      </c>
      <c r="C62" t="s">
        <v>201</v>
      </c>
      <c r="D62" t="s">
        <v>247</v>
      </c>
      <c r="E62" t="s">
        <v>259</v>
      </c>
      <c r="F62">
        <v>7800.69</v>
      </c>
      <c r="G62">
        <v>0</v>
      </c>
      <c r="H62">
        <f t="shared" si="0"/>
        <v>7800.69</v>
      </c>
      <c r="J62" t="s">
        <v>306</v>
      </c>
    </row>
    <row r="63" spans="1:10" hidden="1" x14ac:dyDescent="0.55000000000000004">
      <c r="A63" t="s">
        <v>71</v>
      </c>
      <c r="B63" t="s">
        <v>180</v>
      </c>
      <c r="C63" t="s">
        <v>212</v>
      </c>
      <c r="D63" t="s">
        <v>243</v>
      </c>
      <c r="E63" t="s">
        <v>255</v>
      </c>
      <c r="F63">
        <v>0</v>
      </c>
      <c r="G63">
        <v>7772.57</v>
      </c>
      <c r="H63">
        <f t="shared" si="0"/>
        <v>-7772.57</v>
      </c>
      <c r="I63" t="s">
        <v>294</v>
      </c>
      <c r="J63" t="s">
        <v>331</v>
      </c>
    </row>
    <row r="64" spans="1:10" hidden="1" x14ac:dyDescent="0.55000000000000004">
      <c r="A64" t="s">
        <v>72</v>
      </c>
      <c r="B64" t="s">
        <v>166</v>
      </c>
      <c r="C64" t="s">
        <v>216</v>
      </c>
      <c r="D64" t="s">
        <v>243</v>
      </c>
      <c r="E64" t="s">
        <v>255</v>
      </c>
      <c r="F64">
        <v>0</v>
      </c>
      <c r="G64">
        <v>6601.52</v>
      </c>
      <c r="H64">
        <f t="shared" si="0"/>
        <v>-6601.52</v>
      </c>
      <c r="I64" t="s">
        <v>286</v>
      </c>
      <c r="J64" t="s">
        <v>325</v>
      </c>
    </row>
    <row r="65" spans="1:10" hidden="1" x14ac:dyDescent="0.55000000000000004">
      <c r="A65" t="s">
        <v>73</v>
      </c>
      <c r="B65" t="s">
        <v>181</v>
      </c>
      <c r="C65" t="s">
        <v>227</v>
      </c>
      <c r="D65" t="s">
        <v>238</v>
      </c>
      <c r="E65" t="s">
        <v>250</v>
      </c>
      <c r="F65">
        <v>0</v>
      </c>
      <c r="G65">
        <v>5519.52</v>
      </c>
      <c r="H65">
        <f t="shared" si="0"/>
        <v>-5519.52</v>
      </c>
      <c r="I65" t="s">
        <v>295</v>
      </c>
      <c r="J65" t="s">
        <v>332</v>
      </c>
    </row>
    <row r="66" spans="1:10" hidden="1" x14ac:dyDescent="0.55000000000000004">
      <c r="A66" t="s">
        <v>74</v>
      </c>
      <c r="B66" t="s">
        <v>137</v>
      </c>
      <c r="C66" t="s">
        <v>199</v>
      </c>
      <c r="D66" t="s">
        <v>242</v>
      </c>
      <c r="E66" t="s">
        <v>254</v>
      </c>
      <c r="F66">
        <v>0</v>
      </c>
      <c r="G66">
        <v>4831.0600000000004</v>
      </c>
      <c r="H66">
        <f t="shared" si="0"/>
        <v>-4831.0600000000004</v>
      </c>
      <c r="J66" t="s">
        <v>306</v>
      </c>
    </row>
    <row r="67" spans="1:10" hidden="1" x14ac:dyDescent="0.55000000000000004">
      <c r="A67" t="s">
        <v>75</v>
      </c>
      <c r="B67" t="s">
        <v>171</v>
      </c>
      <c r="C67" t="s">
        <v>224</v>
      </c>
      <c r="D67" t="s">
        <v>243</v>
      </c>
      <c r="E67" t="s">
        <v>255</v>
      </c>
      <c r="F67">
        <v>0</v>
      </c>
      <c r="G67">
        <v>4323.41</v>
      </c>
      <c r="H67">
        <f t="shared" ref="H67:H130" si="1">F67-G67</f>
        <v>-4323.41</v>
      </c>
      <c r="J67" t="s">
        <v>306</v>
      </c>
    </row>
    <row r="68" spans="1:10" hidden="1" x14ac:dyDescent="0.55000000000000004">
      <c r="A68" t="s">
        <v>76</v>
      </c>
      <c r="B68" t="s">
        <v>180</v>
      </c>
      <c r="C68" t="s">
        <v>212</v>
      </c>
      <c r="D68" t="s">
        <v>248</v>
      </c>
      <c r="E68" t="s">
        <v>260</v>
      </c>
      <c r="F68">
        <v>7772.57</v>
      </c>
      <c r="G68">
        <v>0</v>
      </c>
      <c r="H68">
        <f t="shared" si="1"/>
        <v>7772.57</v>
      </c>
      <c r="I68" t="s">
        <v>294</v>
      </c>
      <c r="J68" t="s">
        <v>331</v>
      </c>
    </row>
    <row r="69" spans="1:10" hidden="1" x14ac:dyDescent="0.55000000000000004">
      <c r="A69" t="s">
        <v>77</v>
      </c>
      <c r="B69" t="s">
        <v>182</v>
      </c>
      <c r="C69" t="s">
        <v>220</v>
      </c>
      <c r="D69" t="s">
        <v>237</v>
      </c>
      <c r="E69" t="s">
        <v>249</v>
      </c>
      <c r="F69">
        <v>782.66</v>
      </c>
      <c r="G69">
        <v>0</v>
      </c>
      <c r="H69">
        <f t="shared" si="1"/>
        <v>782.66</v>
      </c>
      <c r="J69" t="s">
        <v>312</v>
      </c>
    </row>
    <row r="70" spans="1:10" hidden="1" x14ac:dyDescent="0.55000000000000004">
      <c r="A70" t="s">
        <v>78</v>
      </c>
      <c r="B70" t="s">
        <v>183</v>
      </c>
      <c r="C70" t="s">
        <v>228</v>
      </c>
      <c r="D70" t="s">
        <v>240</v>
      </c>
      <c r="E70" t="s">
        <v>252</v>
      </c>
      <c r="F70">
        <v>0</v>
      </c>
      <c r="G70">
        <v>2368.9</v>
      </c>
      <c r="H70">
        <f t="shared" si="1"/>
        <v>-2368.9</v>
      </c>
      <c r="I70" t="s">
        <v>296</v>
      </c>
      <c r="J70" t="s">
        <v>333</v>
      </c>
    </row>
    <row r="71" spans="1:10" x14ac:dyDescent="0.55000000000000004">
      <c r="A71" t="s">
        <v>350</v>
      </c>
      <c r="B71" t="s">
        <v>344</v>
      </c>
      <c r="C71" t="s">
        <v>229</v>
      </c>
      <c r="D71" t="s">
        <v>238</v>
      </c>
      <c r="E71" t="s">
        <v>250</v>
      </c>
      <c r="F71">
        <v>0</v>
      </c>
      <c r="G71">
        <v>125000</v>
      </c>
      <c r="H71">
        <f t="shared" si="1"/>
        <v>-125000</v>
      </c>
      <c r="I71" t="s">
        <v>297</v>
      </c>
      <c r="J71" t="s">
        <v>334</v>
      </c>
    </row>
    <row r="72" spans="1:10" hidden="1" x14ac:dyDescent="0.55000000000000004">
      <c r="A72" t="s">
        <v>79</v>
      </c>
      <c r="B72" t="s">
        <v>184</v>
      </c>
      <c r="C72" t="s">
        <v>222</v>
      </c>
      <c r="D72" t="s">
        <v>240</v>
      </c>
      <c r="E72" t="s">
        <v>252</v>
      </c>
      <c r="F72">
        <v>14412.02</v>
      </c>
      <c r="G72">
        <v>0</v>
      </c>
      <c r="H72">
        <f t="shared" si="1"/>
        <v>14412.02</v>
      </c>
      <c r="I72" t="s">
        <v>298</v>
      </c>
      <c r="J72" t="s">
        <v>335</v>
      </c>
    </row>
    <row r="73" spans="1:10" hidden="1" x14ac:dyDescent="0.55000000000000004">
      <c r="A73" t="s">
        <v>80</v>
      </c>
      <c r="B73" t="s">
        <v>185</v>
      </c>
      <c r="C73" t="s">
        <v>230</v>
      </c>
      <c r="D73" t="s">
        <v>247</v>
      </c>
      <c r="E73" t="s">
        <v>259</v>
      </c>
      <c r="F73">
        <v>0</v>
      </c>
      <c r="G73">
        <v>7592.87</v>
      </c>
      <c r="H73">
        <f t="shared" si="1"/>
        <v>-7592.87</v>
      </c>
      <c r="J73" t="s">
        <v>306</v>
      </c>
    </row>
    <row r="74" spans="1:10" hidden="1" x14ac:dyDescent="0.55000000000000004">
      <c r="A74" t="s">
        <v>81</v>
      </c>
      <c r="B74" t="s">
        <v>174</v>
      </c>
      <c r="C74" t="s">
        <v>225</v>
      </c>
      <c r="D74" t="s">
        <v>238</v>
      </c>
      <c r="E74" t="s">
        <v>250</v>
      </c>
      <c r="F74">
        <v>0</v>
      </c>
      <c r="G74">
        <v>281.64</v>
      </c>
      <c r="H74">
        <f t="shared" si="1"/>
        <v>-281.64</v>
      </c>
      <c r="I74" t="s">
        <v>290</v>
      </c>
      <c r="J74" t="s">
        <v>309</v>
      </c>
    </row>
    <row r="75" spans="1:10" hidden="1" x14ac:dyDescent="0.55000000000000004">
      <c r="A75" t="s">
        <v>82</v>
      </c>
      <c r="B75" t="s">
        <v>179</v>
      </c>
      <c r="C75" t="s">
        <v>203</v>
      </c>
      <c r="D75" t="s">
        <v>244</v>
      </c>
      <c r="E75" t="s">
        <v>256</v>
      </c>
      <c r="F75">
        <v>6505.55</v>
      </c>
      <c r="G75">
        <v>0</v>
      </c>
      <c r="H75">
        <f t="shared" si="1"/>
        <v>6505.55</v>
      </c>
      <c r="I75" t="s">
        <v>293</v>
      </c>
      <c r="J75" t="s">
        <v>330</v>
      </c>
    </row>
    <row r="76" spans="1:10" hidden="1" x14ac:dyDescent="0.55000000000000004">
      <c r="A76" t="s">
        <v>83</v>
      </c>
      <c r="B76" t="s">
        <v>178</v>
      </c>
      <c r="C76" t="s">
        <v>226</v>
      </c>
      <c r="D76" t="s">
        <v>241</v>
      </c>
      <c r="E76" t="s">
        <v>253</v>
      </c>
      <c r="F76">
        <v>7876.34</v>
      </c>
      <c r="G76">
        <v>0</v>
      </c>
      <c r="H76">
        <f t="shared" si="1"/>
        <v>7876.34</v>
      </c>
      <c r="I76" t="s">
        <v>292</v>
      </c>
      <c r="J76" t="s">
        <v>329</v>
      </c>
    </row>
    <row r="77" spans="1:10" hidden="1" x14ac:dyDescent="0.55000000000000004">
      <c r="A77" t="s">
        <v>84</v>
      </c>
      <c r="B77" t="s">
        <v>186</v>
      </c>
      <c r="C77" t="s">
        <v>198</v>
      </c>
      <c r="D77" t="s">
        <v>240</v>
      </c>
      <c r="E77" t="s">
        <v>252</v>
      </c>
      <c r="F77">
        <v>0</v>
      </c>
      <c r="G77">
        <v>13144.84</v>
      </c>
      <c r="H77">
        <f t="shared" si="1"/>
        <v>-13144.84</v>
      </c>
      <c r="I77" t="s">
        <v>299</v>
      </c>
      <c r="J77" t="s">
        <v>336</v>
      </c>
    </row>
    <row r="78" spans="1:10" hidden="1" x14ac:dyDescent="0.55000000000000004">
      <c r="A78" t="s">
        <v>85</v>
      </c>
      <c r="B78" t="s">
        <v>187</v>
      </c>
      <c r="C78" t="s">
        <v>221</v>
      </c>
      <c r="D78" t="s">
        <v>237</v>
      </c>
      <c r="E78" t="s">
        <v>249</v>
      </c>
      <c r="F78">
        <v>2901.43</v>
      </c>
      <c r="G78">
        <v>0</v>
      </c>
      <c r="H78">
        <f t="shared" si="1"/>
        <v>2901.43</v>
      </c>
      <c r="J78" t="s">
        <v>312</v>
      </c>
    </row>
    <row r="79" spans="1:10" hidden="1" x14ac:dyDescent="0.55000000000000004">
      <c r="A79" t="s">
        <v>348</v>
      </c>
      <c r="B79" t="s">
        <v>347</v>
      </c>
      <c r="C79" t="s">
        <v>231</v>
      </c>
      <c r="D79" t="s">
        <v>242</v>
      </c>
      <c r="E79" t="s">
        <v>254</v>
      </c>
      <c r="F79">
        <v>38765.43</v>
      </c>
      <c r="G79">
        <v>0</v>
      </c>
      <c r="H79">
        <f t="shared" si="1"/>
        <v>38765.43</v>
      </c>
      <c r="I79" t="s">
        <v>300</v>
      </c>
      <c r="J79" t="s">
        <v>337</v>
      </c>
    </row>
    <row r="80" spans="1:10" hidden="1" x14ac:dyDescent="0.55000000000000004">
      <c r="A80" t="s">
        <v>86</v>
      </c>
      <c r="B80" t="s">
        <v>188</v>
      </c>
      <c r="C80" t="s">
        <v>229</v>
      </c>
      <c r="D80" t="s">
        <v>246</v>
      </c>
      <c r="E80" t="s">
        <v>258</v>
      </c>
      <c r="F80">
        <v>0</v>
      </c>
      <c r="G80">
        <v>2952.76</v>
      </c>
      <c r="H80">
        <f t="shared" si="1"/>
        <v>-2952.76</v>
      </c>
      <c r="J80" t="s">
        <v>306</v>
      </c>
    </row>
    <row r="81" spans="1:10" hidden="1" x14ac:dyDescent="0.55000000000000004">
      <c r="A81" t="s">
        <v>87</v>
      </c>
      <c r="B81" t="s">
        <v>140</v>
      </c>
      <c r="C81" t="s">
        <v>202</v>
      </c>
      <c r="D81" t="s">
        <v>244</v>
      </c>
      <c r="E81" t="s">
        <v>256</v>
      </c>
      <c r="F81">
        <v>0</v>
      </c>
      <c r="G81">
        <v>2856.4</v>
      </c>
      <c r="H81">
        <f t="shared" si="1"/>
        <v>-2856.4</v>
      </c>
      <c r="I81" t="s">
        <v>264</v>
      </c>
      <c r="J81" t="s">
        <v>309</v>
      </c>
    </row>
    <row r="82" spans="1:10" hidden="1" x14ac:dyDescent="0.55000000000000004">
      <c r="A82" t="s">
        <v>88</v>
      </c>
      <c r="B82" t="s">
        <v>189</v>
      </c>
      <c r="C82" t="s">
        <v>232</v>
      </c>
      <c r="D82" t="s">
        <v>241</v>
      </c>
      <c r="E82" t="s">
        <v>253</v>
      </c>
      <c r="F82">
        <v>0</v>
      </c>
      <c r="G82">
        <v>1885.88</v>
      </c>
      <c r="H82">
        <f t="shared" si="1"/>
        <v>-1885.88</v>
      </c>
      <c r="I82" t="s">
        <v>301</v>
      </c>
      <c r="J82" t="s">
        <v>338</v>
      </c>
    </row>
    <row r="83" spans="1:10" hidden="1" x14ac:dyDescent="0.55000000000000004">
      <c r="A83" t="s">
        <v>89</v>
      </c>
      <c r="B83" t="s">
        <v>173</v>
      </c>
      <c r="C83" t="s">
        <v>225</v>
      </c>
      <c r="D83" t="s">
        <v>246</v>
      </c>
      <c r="E83" t="s">
        <v>258</v>
      </c>
      <c r="F83">
        <v>0</v>
      </c>
      <c r="G83">
        <v>63.28</v>
      </c>
      <c r="H83">
        <f t="shared" si="1"/>
        <v>-63.28</v>
      </c>
      <c r="J83" t="s">
        <v>312</v>
      </c>
    </row>
    <row r="84" spans="1:10" hidden="1" x14ac:dyDescent="0.55000000000000004">
      <c r="A84" t="s">
        <v>90</v>
      </c>
      <c r="B84" t="s">
        <v>190</v>
      </c>
      <c r="C84" t="s">
        <v>233</v>
      </c>
      <c r="D84" t="s">
        <v>239</v>
      </c>
      <c r="E84" t="s">
        <v>251</v>
      </c>
      <c r="F84">
        <v>6290.65</v>
      </c>
      <c r="G84">
        <v>0</v>
      </c>
      <c r="H84">
        <f t="shared" si="1"/>
        <v>6290.65</v>
      </c>
      <c r="J84" t="s">
        <v>306</v>
      </c>
    </row>
    <row r="85" spans="1:10" hidden="1" x14ac:dyDescent="0.55000000000000004">
      <c r="A85" t="s">
        <v>91</v>
      </c>
      <c r="B85" t="s">
        <v>158</v>
      </c>
      <c r="C85" t="s">
        <v>216</v>
      </c>
      <c r="D85" t="s">
        <v>248</v>
      </c>
      <c r="E85" t="s">
        <v>260</v>
      </c>
      <c r="F85">
        <v>0</v>
      </c>
      <c r="G85">
        <v>2759.35</v>
      </c>
      <c r="H85">
        <f t="shared" si="1"/>
        <v>-2759.35</v>
      </c>
      <c r="I85" t="s">
        <v>279</v>
      </c>
      <c r="J85" t="s">
        <v>320</v>
      </c>
    </row>
    <row r="86" spans="1:10" hidden="1" x14ac:dyDescent="0.55000000000000004">
      <c r="A86" t="s">
        <v>92</v>
      </c>
      <c r="B86" t="s">
        <v>191</v>
      </c>
      <c r="C86" t="s">
        <v>234</v>
      </c>
      <c r="D86" t="s">
        <v>237</v>
      </c>
      <c r="E86" t="s">
        <v>249</v>
      </c>
      <c r="F86">
        <v>0</v>
      </c>
      <c r="G86">
        <v>1639.72</v>
      </c>
      <c r="H86">
        <f t="shared" si="1"/>
        <v>-1639.72</v>
      </c>
      <c r="I86" t="s">
        <v>302</v>
      </c>
      <c r="J86" t="s">
        <v>339</v>
      </c>
    </row>
    <row r="87" spans="1:10" hidden="1" x14ac:dyDescent="0.55000000000000004">
      <c r="A87" t="s">
        <v>93</v>
      </c>
      <c r="B87" t="s">
        <v>192</v>
      </c>
      <c r="C87" t="s">
        <v>205</v>
      </c>
      <c r="D87" t="s">
        <v>241</v>
      </c>
      <c r="E87" t="s">
        <v>253</v>
      </c>
      <c r="F87">
        <v>0</v>
      </c>
      <c r="G87">
        <v>23947.24</v>
      </c>
      <c r="H87">
        <f t="shared" si="1"/>
        <v>-23947.24</v>
      </c>
      <c r="I87" t="s">
        <v>303</v>
      </c>
      <c r="J87" t="s">
        <v>340</v>
      </c>
    </row>
    <row r="88" spans="1:10" hidden="1" x14ac:dyDescent="0.55000000000000004">
      <c r="A88" t="s">
        <v>94</v>
      </c>
      <c r="B88" t="s">
        <v>181</v>
      </c>
      <c r="C88" t="s">
        <v>227</v>
      </c>
      <c r="D88" t="s">
        <v>246</v>
      </c>
      <c r="E88" t="s">
        <v>258</v>
      </c>
      <c r="F88">
        <v>5519.52</v>
      </c>
      <c r="G88">
        <v>0</v>
      </c>
      <c r="H88">
        <f t="shared" si="1"/>
        <v>5519.52</v>
      </c>
      <c r="I88" t="s">
        <v>295</v>
      </c>
      <c r="J88" t="s">
        <v>332</v>
      </c>
    </row>
    <row r="89" spans="1:10" hidden="1" x14ac:dyDescent="0.55000000000000004">
      <c r="A89" t="s">
        <v>95</v>
      </c>
      <c r="B89" t="s">
        <v>148</v>
      </c>
      <c r="C89" t="s">
        <v>210</v>
      </c>
      <c r="D89" t="s">
        <v>244</v>
      </c>
      <c r="E89" t="s">
        <v>256</v>
      </c>
      <c r="F89">
        <v>0</v>
      </c>
      <c r="G89">
        <v>4358.2</v>
      </c>
      <c r="H89">
        <f t="shared" si="1"/>
        <v>-4358.2</v>
      </c>
      <c r="I89" t="s">
        <v>271</v>
      </c>
      <c r="J89" t="s">
        <v>309</v>
      </c>
    </row>
    <row r="90" spans="1:10" hidden="1" x14ac:dyDescent="0.55000000000000004">
      <c r="A90" t="s">
        <v>96</v>
      </c>
      <c r="B90" t="s">
        <v>170</v>
      </c>
      <c r="C90" t="s">
        <v>205</v>
      </c>
      <c r="D90" t="s">
        <v>246</v>
      </c>
      <c r="E90" t="s">
        <v>258</v>
      </c>
      <c r="F90">
        <v>0</v>
      </c>
      <c r="G90">
        <v>861.19</v>
      </c>
      <c r="H90">
        <f t="shared" si="1"/>
        <v>-861.19</v>
      </c>
      <c r="I90" t="s">
        <v>289</v>
      </c>
      <c r="J90" t="s">
        <v>309</v>
      </c>
    </row>
    <row r="91" spans="1:10" hidden="1" x14ac:dyDescent="0.55000000000000004">
      <c r="A91" t="s">
        <v>97</v>
      </c>
      <c r="B91" t="s">
        <v>144</v>
      </c>
      <c r="C91" t="s">
        <v>206</v>
      </c>
      <c r="D91" t="s">
        <v>245</v>
      </c>
      <c r="E91" t="s">
        <v>257</v>
      </c>
      <c r="F91">
        <v>0</v>
      </c>
      <c r="G91">
        <v>12040.24</v>
      </c>
      <c r="H91">
        <f t="shared" si="1"/>
        <v>-12040.24</v>
      </c>
      <c r="I91" t="s">
        <v>268</v>
      </c>
      <c r="J91" t="s">
        <v>313</v>
      </c>
    </row>
    <row r="92" spans="1:10" hidden="1" x14ac:dyDescent="0.55000000000000004">
      <c r="A92" t="s">
        <v>98</v>
      </c>
      <c r="B92" t="s">
        <v>184</v>
      </c>
      <c r="C92" t="s">
        <v>222</v>
      </c>
      <c r="D92" t="s">
        <v>242</v>
      </c>
      <c r="E92" t="s">
        <v>254</v>
      </c>
      <c r="F92">
        <v>0</v>
      </c>
      <c r="G92">
        <v>14412.02</v>
      </c>
      <c r="H92">
        <f t="shared" si="1"/>
        <v>-14412.02</v>
      </c>
      <c r="I92" t="s">
        <v>298</v>
      </c>
      <c r="J92" t="s">
        <v>335</v>
      </c>
    </row>
    <row r="93" spans="1:10" hidden="1" x14ac:dyDescent="0.55000000000000004">
      <c r="A93" t="s">
        <v>99</v>
      </c>
      <c r="B93" t="s">
        <v>167</v>
      </c>
      <c r="C93" t="s">
        <v>222</v>
      </c>
      <c r="D93" t="s">
        <v>237</v>
      </c>
      <c r="E93" t="s">
        <v>249</v>
      </c>
      <c r="F93">
        <v>0</v>
      </c>
      <c r="G93">
        <v>4162.47</v>
      </c>
      <c r="H93">
        <f t="shared" si="1"/>
        <v>-4162.47</v>
      </c>
      <c r="I93" t="s">
        <v>287</v>
      </c>
      <c r="J93" t="s">
        <v>326</v>
      </c>
    </row>
    <row r="94" spans="1:10" hidden="1" x14ac:dyDescent="0.55000000000000004">
      <c r="A94" t="s">
        <v>100</v>
      </c>
      <c r="B94" t="s">
        <v>141</v>
      </c>
      <c r="C94" t="s">
        <v>203</v>
      </c>
      <c r="D94" t="s">
        <v>243</v>
      </c>
      <c r="E94" t="s">
        <v>255</v>
      </c>
      <c r="F94">
        <v>0</v>
      </c>
      <c r="G94">
        <v>4876.12</v>
      </c>
      <c r="H94">
        <f t="shared" si="1"/>
        <v>-4876.12</v>
      </c>
      <c r="I94" t="s">
        <v>265</v>
      </c>
      <c r="J94" t="s">
        <v>310</v>
      </c>
    </row>
    <row r="95" spans="1:10" hidden="1" x14ac:dyDescent="0.55000000000000004">
      <c r="A95" t="s">
        <v>101</v>
      </c>
      <c r="B95" t="s">
        <v>193</v>
      </c>
      <c r="C95" t="s">
        <v>235</v>
      </c>
      <c r="D95" t="s">
        <v>239</v>
      </c>
      <c r="E95" t="s">
        <v>251</v>
      </c>
      <c r="F95">
        <v>3179.82</v>
      </c>
      <c r="G95">
        <v>0</v>
      </c>
      <c r="H95">
        <f t="shared" si="1"/>
        <v>3179.82</v>
      </c>
      <c r="J95" t="s">
        <v>312</v>
      </c>
    </row>
    <row r="96" spans="1:10" hidden="1" x14ac:dyDescent="0.55000000000000004">
      <c r="A96" t="s">
        <v>102</v>
      </c>
      <c r="B96" t="s">
        <v>194</v>
      </c>
      <c r="C96" t="s">
        <v>215</v>
      </c>
      <c r="D96" t="s">
        <v>243</v>
      </c>
      <c r="E96" t="s">
        <v>255</v>
      </c>
      <c r="F96">
        <v>4799.7</v>
      </c>
      <c r="G96">
        <v>0</v>
      </c>
      <c r="H96">
        <f t="shared" si="1"/>
        <v>4799.7</v>
      </c>
      <c r="J96" t="s">
        <v>306</v>
      </c>
    </row>
    <row r="97" spans="1:10" hidden="1" x14ac:dyDescent="0.55000000000000004">
      <c r="A97" t="s">
        <v>103</v>
      </c>
      <c r="B97" t="s">
        <v>195</v>
      </c>
      <c r="C97" t="s">
        <v>236</v>
      </c>
      <c r="D97" t="s">
        <v>237</v>
      </c>
      <c r="E97" t="s">
        <v>249</v>
      </c>
      <c r="F97">
        <v>0</v>
      </c>
      <c r="G97">
        <v>588.80999999999995</v>
      </c>
      <c r="H97">
        <f t="shared" si="1"/>
        <v>-588.80999999999995</v>
      </c>
      <c r="I97" t="s">
        <v>304</v>
      </c>
      <c r="J97" t="s">
        <v>341</v>
      </c>
    </row>
    <row r="98" spans="1:10" hidden="1" x14ac:dyDescent="0.55000000000000004">
      <c r="A98" t="s">
        <v>104</v>
      </c>
      <c r="B98" t="s">
        <v>149</v>
      </c>
      <c r="C98" t="s">
        <v>204</v>
      </c>
      <c r="D98" t="s">
        <v>237</v>
      </c>
      <c r="E98" t="s">
        <v>249</v>
      </c>
      <c r="F98">
        <v>3473.57</v>
      </c>
      <c r="G98">
        <v>0</v>
      </c>
      <c r="H98">
        <f t="shared" si="1"/>
        <v>3473.57</v>
      </c>
      <c r="I98" t="s">
        <v>272</v>
      </c>
      <c r="J98" t="s">
        <v>309</v>
      </c>
    </row>
    <row r="99" spans="1:10" hidden="1" x14ac:dyDescent="0.55000000000000004">
      <c r="A99" t="s">
        <v>105</v>
      </c>
      <c r="B99" t="s">
        <v>188</v>
      </c>
      <c r="C99" t="s">
        <v>229</v>
      </c>
      <c r="D99" t="s">
        <v>244</v>
      </c>
      <c r="E99" t="s">
        <v>256</v>
      </c>
      <c r="F99">
        <v>2952.76</v>
      </c>
      <c r="G99">
        <v>0</v>
      </c>
      <c r="H99">
        <f t="shared" si="1"/>
        <v>2952.76</v>
      </c>
      <c r="J99" t="s">
        <v>306</v>
      </c>
    </row>
    <row r="100" spans="1:10" hidden="1" x14ac:dyDescent="0.55000000000000004">
      <c r="A100" t="s">
        <v>106</v>
      </c>
      <c r="B100" t="s">
        <v>159</v>
      </c>
      <c r="C100" t="s">
        <v>198</v>
      </c>
      <c r="D100" t="s">
        <v>242</v>
      </c>
      <c r="E100" t="s">
        <v>254</v>
      </c>
      <c r="F100">
        <v>0</v>
      </c>
      <c r="G100">
        <v>12275.46</v>
      </c>
      <c r="H100">
        <f t="shared" si="1"/>
        <v>-12275.46</v>
      </c>
      <c r="I100" t="s">
        <v>280</v>
      </c>
      <c r="J100" t="s">
        <v>321</v>
      </c>
    </row>
    <row r="101" spans="1:10" hidden="1" x14ac:dyDescent="0.55000000000000004">
      <c r="A101" t="s">
        <v>107</v>
      </c>
      <c r="B101" t="s">
        <v>154</v>
      </c>
      <c r="C101" t="s">
        <v>212</v>
      </c>
      <c r="D101" t="s">
        <v>244</v>
      </c>
      <c r="E101" t="s">
        <v>256</v>
      </c>
      <c r="F101">
        <v>0</v>
      </c>
      <c r="G101">
        <v>5280.68</v>
      </c>
      <c r="H101">
        <f t="shared" si="1"/>
        <v>-5280.68</v>
      </c>
      <c r="I101" t="s">
        <v>276</v>
      </c>
      <c r="J101" t="s">
        <v>317</v>
      </c>
    </row>
    <row r="102" spans="1:10" hidden="1" x14ac:dyDescent="0.55000000000000004">
      <c r="A102" t="s">
        <v>108</v>
      </c>
      <c r="B102" t="s">
        <v>147</v>
      </c>
      <c r="C102" t="s">
        <v>209</v>
      </c>
      <c r="D102" t="s">
        <v>243</v>
      </c>
      <c r="E102" t="s">
        <v>255</v>
      </c>
      <c r="F102">
        <v>0</v>
      </c>
      <c r="G102">
        <v>6570.51</v>
      </c>
      <c r="H102">
        <f t="shared" si="1"/>
        <v>-6570.51</v>
      </c>
      <c r="I102" t="s">
        <v>270</v>
      </c>
      <c r="J102" t="s">
        <v>314</v>
      </c>
    </row>
    <row r="103" spans="1:10" hidden="1" x14ac:dyDescent="0.55000000000000004">
      <c r="A103" t="s">
        <v>109</v>
      </c>
      <c r="B103" t="s">
        <v>185</v>
      </c>
      <c r="C103" t="s">
        <v>230</v>
      </c>
      <c r="D103" t="s">
        <v>237</v>
      </c>
      <c r="E103" t="s">
        <v>249</v>
      </c>
      <c r="F103">
        <v>7592.87</v>
      </c>
      <c r="G103">
        <v>0</v>
      </c>
      <c r="H103">
        <f t="shared" si="1"/>
        <v>7592.87</v>
      </c>
      <c r="J103" t="s">
        <v>306</v>
      </c>
    </row>
    <row r="104" spans="1:10" hidden="1" x14ac:dyDescent="0.55000000000000004">
      <c r="A104" t="s">
        <v>110</v>
      </c>
      <c r="B104" t="s">
        <v>186</v>
      </c>
      <c r="C104" t="s">
        <v>198</v>
      </c>
      <c r="D104" t="s">
        <v>245</v>
      </c>
      <c r="E104" t="s">
        <v>257</v>
      </c>
      <c r="F104">
        <v>13144.84</v>
      </c>
      <c r="G104">
        <v>0</v>
      </c>
      <c r="H104">
        <f t="shared" si="1"/>
        <v>13144.84</v>
      </c>
      <c r="I104" t="s">
        <v>299</v>
      </c>
      <c r="J104" t="s">
        <v>336</v>
      </c>
    </row>
    <row r="105" spans="1:10" hidden="1" x14ac:dyDescent="0.55000000000000004">
      <c r="A105" t="s">
        <v>111</v>
      </c>
      <c r="B105" t="s">
        <v>191</v>
      </c>
      <c r="C105" t="s">
        <v>234</v>
      </c>
      <c r="D105" t="s">
        <v>244</v>
      </c>
      <c r="E105" t="s">
        <v>256</v>
      </c>
      <c r="F105">
        <v>1639.72</v>
      </c>
      <c r="G105">
        <v>0</v>
      </c>
      <c r="H105">
        <f t="shared" si="1"/>
        <v>1639.72</v>
      </c>
      <c r="I105" t="s">
        <v>302</v>
      </c>
      <c r="J105" t="s">
        <v>339</v>
      </c>
    </row>
    <row r="106" spans="1:10" hidden="1" x14ac:dyDescent="0.55000000000000004">
      <c r="A106" t="s">
        <v>112</v>
      </c>
      <c r="B106" t="s">
        <v>187</v>
      </c>
      <c r="C106" t="s">
        <v>221</v>
      </c>
      <c r="D106" t="s">
        <v>241</v>
      </c>
      <c r="E106" t="s">
        <v>253</v>
      </c>
      <c r="F106">
        <v>0</v>
      </c>
      <c r="G106">
        <v>2901.43</v>
      </c>
      <c r="H106">
        <f t="shared" si="1"/>
        <v>-2901.43</v>
      </c>
      <c r="J106" t="s">
        <v>312</v>
      </c>
    </row>
    <row r="107" spans="1:10" hidden="1" x14ac:dyDescent="0.55000000000000004">
      <c r="A107" t="s">
        <v>113</v>
      </c>
      <c r="B107" t="s">
        <v>196</v>
      </c>
      <c r="C107" t="s">
        <v>213</v>
      </c>
      <c r="D107" t="s">
        <v>241</v>
      </c>
      <c r="E107" t="s">
        <v>253</v>
      </c>
      <c r="F107">
        <v>0</v>
      </c>
      <c r="G107">
        <v>804.11</v>
      </c>
      <c r="H107">
        <f t="shared" si="1"/>
        <v>-804.11</v>
      </c>
      <c r="J107" t="s">
        <v>312</v>
      </c>
    </row>
    <row r="108" spans="1:10" hidden="1" x14ac:dyDescent="0.55000000000000004">
      <c r="A108" t="s">
        <v>114</v>
      </c>
      <c r="B108" t="s">
        <v>146</v>
      </c>
      <c r="C108" t="s">
        <v>208</v>
      </c>
      <c r="D108" t="s">
        <v>247</v>
      </c>
      <c r="E108" t="s">
        <v>259</v>
      </c>
      <c r="F108">
        <v>7651.21</v>
      </c>
      <c r="G108">
        <v>0</v>
      </c>
      <c r="H108">
        <f t="shared" si="1"/>
        <v>7651.21</v>
      </c>
      <c r="J108" t="s">
        <v>312</v>
      </c>
    </row>
    <row r="109" spans="1:10" hidden="1" x14ac:dyDescent="0.55000000000000004">
      <c r="A109" t="s">
        <v>115</v>
      </c>
      <c r="B109" t="s">
        <v>346</v>
      </c>
      <c r="C109" t="s">
        <v>204</v>
      </c>
      <c r="D109" t="s">
        <v>245</v>
      </c>
      <c r="E109" t="s">
        <v>257</v>
      </c>
      <c r="F109">
        <v>0</v>
      </c>
      <c r="G109">
        <v>42000</v>
      </c>
      <c r="H109">
        <f t="shared" si="1"/>
        <v>-42000</v>
      </c>
      <c r="I109" t="s">
        <v>266</v>
      </c>
      <c r="J109" t="s">
        <v>342</v>
      </c>
    </row>
    <row r="110" spans="1:10" hidden="1" x14ac:dyDescent="0.55000000000000004">
      <c r="A110" t="s">
        <v>116</v>
      </c>
      <c r="B110" t="s">
        <v>192</v>
      </c>
      <c r="C110" t="s">
        <v>205</v>
      </c>
      <c r="D110" t="s">
        <v>244</v>
      </c>
      <c r="E110" t="s">
        <v>256</v>
      </c>
      <c r="F110">
        <v>23947.24</v>
      </c>
      <c r="G110">
        <v>0</v>
      </c>
      <c r="H110">
        <f t="shared" si="1"/>
        <v>23947.24</v>
      </c>
      <c r="I110" t="s">
        <v>303</v>
      </c>
      <c r="J110" t="s">
        <v>340</v>
      </c>
    </row>
    <row r="111" spans="1:10" hidden="1" x14ac:dyDescent="0.55000000000000004">
      <c r="A111" t="s">
        <v>117</v>
      </c>
      <c r="B111" t="s">
        <v>195</v>
      </c>
      <c r="C111" t="s">
        <v>236</v>
      </c>
      <c r="D111" t="s">
        <v>240</v>
      </c>
      <c r="E111" t="s">
        <v>252</v>
      </c>
      <c r="F111">
        <v>588.80999999999995</v>
      </c>
      <c r="G111">
        <v>0</v>
      </c>
      <c r="H111">
        <f t="shared" si="1"/>
        <v>588.80999999999995</v>
      </c>
      <c r="I111" t="s">
        <v>304</v>
      </c>
      <c r="J111" t="s">
        <v>341</v>
      </c>
    </row>
    <row r="112" spans="1:10" hidden="1" x14ac:dyDescent="0.55000000000000004">
      <c r="A112" t="s">
        <v>118</v>
      </c>
      <c r="B112" t="s">
        <v>197</v>
      </c>
      <c r="C112" t="s">
        <v>232</v>
      </c>
      <c r="D112" t="s">
        <v>245</v>
      </c>
      <c r="E112" t="s">
        <v>257</v>
      </c>
      <c r="F112">
        <v>0</v>
      </c>
      <c r="G112">
        <v>6661.25</v>
      </c>
      <c r="H112">
        <f t="shared" si="1"/>
        <v>-6661.25</v>
      </c>
      <c r="J112" t="s">
        <v>306</v>
      </c>
    </row>
    <row r="113" spans="1:10" hidden="1" x14ac:dyDescent="0.55000000000000004">
      <c r="A113" t="s">
        <v>119</v>
      </c>
      <c r="B113" t="s">
        <v>138</v>
      </c>
      <c r="C113" t="s">
        <v>200</v>
      </c>
      <c r="D113" t="s">
        <v>237</v>
      </c>
      <c r="E113" t="s">
        <v>249</v>
      </c>
      <c r="F113">
        <v>0</v>
      </c>
      <c r="G113">
        <v>2091.9699999999998</v>
      </c>
      <c r="H113">
        <f t="shared" si="1"/>
        <v>-2091.9699999999998</v>
      </c>
      <c r="I113" t="s">
        <v>262</v>
      </c>
      <c r="J113" t="s">
        <v>307</v>
      </c>
    </row>
    <row r="114" spans="1:10" x14ac:dyDescent="0.55000000000000004">
      <c r="A114" t="s">
        <v>351</v>
      </c>
      <c r="B114" t="s">
        <v>344</v>
      </c>
      <c r="C114" t="s">
        <v>229</v>
      </c>
      <c r="D114" t="s">
        <v>243</v>
      </c>
      <c r="E114" t="s">
        <v>255</v>
      </c>
      <c r="F114">
        <v>125000</v>
      </c>
      <c r="G114">
        <v>0</v>
      </c>
      <c r="H114">
        <f t="shared" si="1"/>
        <v>125000</v>
      </c>
      <c r="I114" t="s">
        <v>297</v>
      </c>
      <c r="J114" t="s">
        <v>345</v>
      </c>
    </row>
    <row r="115" spans="1:10" hidden="1" x14ac:dyDescent="0.55000000000000004">
      <c r="A115" t="s">
        <v>120</v>
      </c>
      <c r="B115" t="s">
        <v>169</v>
      </c>
      <c r="C115" t="s">
        <v>223</v>
      </c>
      <c r="D115" t="s">
        <v>247</v>
      </c>
      <c r="E115" t="s">
        <v>259</v>
      </c>
      <c r="F115">
        <v>0</v>
      </c>
      <c r="G115">
        <v>5880.78</v>
      </c>
      <c r="H115">
        <f t="shared" si="1"/>
        <v>-5880.78</v>
      </c>
      <c r="I115" t="s">
        <v>288</v>
      </c>
      <c r="J115" t="s">
        <v>327</v>
      </c>
    </row>
    <row r="116" spans="1:10" hidden="1" x14ac:dyDescent="0.55000000000000004">
      <c r="A116" t="s">
        <v>121</v>
      </c>
      <c r="B116" t="s">
        <v>165</v>
      </c>
      <c r="C116" t="s">
        <v>221</v>
      </c>
      <c r="D116" t="s">
        <v>242</v>
      </c>
      <c r="E116" t="s">
        <v>254</v>
      </c>
      <c r="F116">
        <v>0</v>
      </c>
      <c r="G116">
        <v>3008.27</v>
      </c>
      <c r="H116">
        <f t="shared" si="1"/>
        <v>-3008.27</v>
      </c>
      <c r="I116" t="s">
        <v>285</v>
      </c>
      <c r="J116" t="s">
        <v>324</v>
      </c>
    </row>
    <row r="117" spans="1:10" hidden="1" x14ac:dyDescent="0.55000000000000004">
      <c r="A117" t="s">
        <v>122</v>
      </c>
      <c r="B117" t="s">
        <v>157</v>
      </c>
      <c r="C117" t="s">
        <v>215</v>
      </c>
      <c r="D117" t="s">
        <v>244</v>
      </c>
      <c r="E117" t="s">
        <v>256</v>
      </c>
      <c r="F117">
        <v>3619.36</v>
      </c>
      <c r="G117">
        <v>0</v>
      </c>
      <c r="H117">
        <f t="shared" si="1"/>
        <v>3619.36</v>
      </c>
      <c r="J117" t="s">
        <v>306</v>
      </c>
    </row>
    <row r="118" spans="1:10" hidden="1" x14ac:dyDescent="0.55000000000000004">
      <c r="A118" t="s">
        <v>123</v>
      </c>
      <c r="B118" t="s">
        <v>177</v>
      </c>
      <c r="C118" t="s">
        <v>210</v>
      </c>
      <c r="D118" t="s">
        <v>246</v>
      </c>
      <c r="E118" t="s">
        <v>258</v>
      </c>
      <c r="F118">
        <v>0</v>
      </c>
      <c r="G118">
        <v>6163.2</v>
      </c>
      <c r="H118">
        <f t="shared" si="1"/>
        <v>-6163.2</v>
      </c>
      <c r="J118" t="s">
        <v>306</v>
      </c>
    </row>
    <row r="119" spans="1:10" hidden="1" x14ac:dyDescent="0.55000000000000004">
      <c r="A119" t="s">
        <v>124</v>
      </c>
      <c r="B119" t="s">
        <v>189</v>
      </c>
      <c r="C119" t="s">
        <v>232</v>
      </c>
      <c r="D119" t="s">
        <v>239</v>
      </c>
      <c r="E119" t="s">
        <v>251</v>
      </c>
      <c r="F119">
        <v>1885.88</v>
      </c>
      <c r="G119">
        <v>0</v>
      </c>
      <c r="H119">
        <f t="shared" si="1"/>
        <v>1885.88</v>
      </c>
      <c r="I119" t="s">
        <v>301</v>
      </c>
      <c r="J119" t="s">
        <v>338</v>
      </c>
    </row>
    <row r="120" spans="1:10" hidden="1" x14ac:dyDescent="0.55000000000000004">
      <c r="A120" t="s">
        <v>125</v>
      </c>
      <c r="B120" t="s">
        <v>193</v>
      </c>
      <c r="C120" t="s">
        <v>235</v>
      </c>
      <c r="D120" t="s">
        <v>245</v>
      </c>
      <c r="E120" t="s">
        <v>257</v>
      </c>
      <c r="F120">
        <v>0</v>
      </c>
      <c r="G120">
        <v>3179.82</v>
      </c>
      <c r="H120">
        <f t="shared" si="1"/>
        <v>-3179.82</v>
      </c>
      <c r="J120" t="s">
        <v>312</v>
      </c>
    </row>
    <row r="121" spans="1:10" hidden="1" x14ac:dyDescent="0.55000000000000004">
      <c r="A121" t="s">
        <v>126</v>
      </c>
      <c r="B121" t="s">
        <v>194</v>
      </c>
      <c r="C121" t="s">
        <v>215</v>
      </c>
      <c r="D121" t="s">
        <v>241</v>
      </c>
      <c r="E121" t="s">
        <v>253</v>
      </c>
      <c r="F121">
        <v>0</v>
      </c>
      <c r="G121">
        <v>4799.7</v>
      </c>
      <c r="H121">
        <f t="shared" si="1"/>
        <v>-4799.7</v>
      </c>
      <c r="J121" t="s">
        <v>306</v>
      </c>
    </row>
    <row r="122" spans="1:10" hidden="1" x14ac:dyDescent="0.55000000000000004">
      <c r="A122" t="s">
        <v>127</v>
      </c>
      <c r="B122" t="s">
        <v>176</v>
      </c>
      <c r="C122" t="s">
        <v>202</v>
      </c>
      <c r="D122" t="s">
        <v>244</v>
      </c>
      <c r="E122" t="s">
        <v>256</v>
      </c>
      <c r="F122">
        <v>0</v>
      </c>
      <c r="G122">
        <v>6299.31</v>
      </c>
      <c r="H122">
        <f t="shared" si="1"/>
        <v>-6299.31</v>
      </c>
      <c r="J122" t="s">
        <v>306</v>
      </c>
    </row>
    <row r="123" spans="1:10" hidden="1" x14ac:dyDescent="0.55000000000000004">
      <c r="A123" t="s">
        <v>128</v>
      </c>
      <c r="B123" t="s">
        <v>183</v>
      </c>
      <c r="C123" t="s">
        <v>228</v>
      </c>
      <c r="D123" t="s">
        <v>243</v>
      </c>
      <c r="E123" t="s">
        <v>255</v>
      </c>
      <c r="F123">
        <v>2368.9</v>
      </c>
      <c r="G123">
        <v>0</v>
      </c>
      <c r="H123">
        <f t="shared" si="1"/>
        <v>2368.9</v>
      </c>
      <c r="I123" t="s">
        <v>296</v>
      </c>
      <c r="J123" t="s">
        <v>333</v>
      </c>
    </row>
    <row r="124" spans="1:10" hidden="1" x14ac:dyDescent="0.55000000000000004">
      <c r="A124" t="s">
        <v>129</v>
      </c>
      <c r="B124" t="s">
        <v>182</v>
      </c>
      <c r="C124" t="s">
        <v>220</v>
      </c>
      <c r="D124" t="s">
        <v>239</v>
      </c>
      <c r="E124" t="s">
        <v>251</v>
      </c>
      <c r="F124">
        <v>0</v>
      </c>
      <c r="G124">
        <v>782.66</v>
      </c>
      <c r="H124">
        <f t="shared" si="1"/>
        <v>-782.66</v>
      </c>
      <c r="J124" t="s">
        <v>312</v>
      </c>
    </row>
    <row r="125" spans="1:10" hidden="1" x14ac:dyDescent="0.55000000000000004">
      <c r="A125" t="s">
        <v>130</v>
      </c>
      <c r="B125" t="s">
        <v>151</v>
      </c>
      <c r="C125" t="s">
        <v>208</v>
      </c>
      <c r="D125" t="s">
        <v>240</v>
      </c>
      <c r="E125" t="s">
        <v>252</v>
      </c>
      <c r="F125">
        <v>11850.09</v>
      </c>
      <c r="G125">
        <v>0</v>
      </c>
      <c r="H125">
        <f t="shared" si="1"/>
        <v>11850.09</v>
      </c>
      <c r="I125" t="s">
        <v>273</v>
      </c>
      <c r="J125" t="s">
        <v>309</v>
      </c>
    </row>
    <row r="126" spans="1:10" hidden="1" x14ac:dyDescent="0.55000000000000004">
      <c r="A126" t="s">
        <v>131</v>
      </c>
      <c r="B126" t="s">
        <v>190</v>
      </c>
      <c r="C126" t="s">
        <v>233</v>
      </c>
      <c r="D126" t="s">
        <v>243</v>
      </c>
      <c r="E126" t="s">
        <v>255</v>
      </c>
      <c r="F126">
        <v>0</v>
      </c>
      <c r="G126">
        <v>6290.65</v>
      </c>
      <c r="H126">
        <f t="shared" si="1"/>
        <v>-6290.65</v>
      </c>
      <c r="J126" t="s">
        <v>306</v>
      </c>
    </row>
    <row r="127" spans="1:10" hidden="1" x14ac:dyDescent="0.55000000000000004">
      <c r="A127" t="s">
        <v>349</v>
      </c>
      <c r="B127" t="s">
        <v>347</v>
      </c>
      <c r="C127" t="s">
        <v>231</v>
      </c>
      <c r="D127" t="s">
        <v>241</v>
      </c>
      <c r="E127" t="s">
        <v>253</v>
      </c>
      <c r="F127">
        <v>0</v>
      </c>
      <c r="G127">
        <v>38765.43</v>
      </c>
      <c r="H127">
        <f t="shared" si="1"/>
        <v>-38765.43</v>
      </c>
      <c r="I127" t="s">
        <v>300</v>
      </c>
      <c r="J127" t="s">
        <v>343</v>
      </c>
    </row>
    <row r="128" spans="1:10" hidden="1" x14ac:dyDescent="0.55000000000000004">
      <c r="A128" t="s">
        <v>132</v>
      </c>
      <c r="B128" t="s">
        <v>197</v>
      </c>
      <c r="C128" t="s">
        <v>232</v>
      </c>
      <c r="D128" t="s">
        <v>241</v>
      </c>
      <c r="E128" t="s">
        <v>253</v>
      </c>
      <c r="F128">
        <v>6661.25</v>
      </c>
      <c r="G128">
        <v>0</v>
      </c>
      <c r="H128">
        <f t="shared" si="1"/>
        <v>6661.25</v>
      </c>
      <c r="J128" t="s">
        <v>306</v>
      </c>
    </row>
    <row r="129" spans="1:10" hidden="1" x14ac:dyDescent="0.55000000000000004">
      <c r="A129" t="s">
        <v>133</v>
      </c>
      <c r="B129" t="s">
        <v>196</v>
      </c>
      <c r="C129" t="s">
        <v>213</v>
      </c>
      <c r="D129" t="s">
        <v>243</v>
      </c>
      <c r="E129" t="s">
        <v>255</v>
      </c>
      <c r="F129">
        <v>804.11</v>
      </c>
      <c r="G129">
        <v>0</v>
      </c>
      <c r="H129">
        <f t="shared" si="1"/>
        <v>804.11</v>
      </c>
      <c r="J129" t="s">
        <v>312</v>
      </c>
    </row>
    <row r="130" spans="1:10" hidden="1" x14ac:dyDescent="0.55000000000000004">
      <c r="A130" t="s">
        <v>134</v>
      </c>
      <c r="B130" t="s">
        <v>145</v>
      </c>
      <c r="C130" t="s">
        <v>207</v>
      </c>
      <c r="D130" t="s">
        <v>243</v>
      </c>
      <c r="E130" t="s">
        <v>255</v>
      </c>
      <c r="F130">
        <v>3914.78</v>
      </c>
      <c r="G130">
        <v>0</v>
      </c>
      <c r="H130">
        <f t="shared" si="1"/>
        <v>3914.78</v>
      </c>
      <c r="I130" t="s">
        <v>269</v>
      </c>
      <c r="J130" t="s">
        <v>309</v>
      </c>
    </row>
    <row r="131" spans="1:10" hidden="1" x14ac:dyDescent="0.55000000000000004">
      <c r="A131" t="s">
        <v>135</v>
      </c>
      <c r="B131" t="s">
        <v>164</v>
      </c>
      <c r="C131" t="s">
        <v>220</v>
      </c>
      <c r="D131" t="s">
        <v>244</v>
      </c>
      <c r="E131" t="s">
        <v>256</v>
      </c>
      <c r="F131">
        <v>1993.61</v>
      </c>
      <c r="G131">
        <v>0</v>
      </c>
      <c r="H131">
        <f t="shared" ref="H131" si="2">F131-G131</f>
        <v>1993.61</v>
      </c>
      <c r="I131" t="s">
        <v>284</v>
      </c>
      <c r="J131" t="s">
        <v>309</v>
      </c>
    </row>
  </sheetData>
  <autoFilter ref="A1:J131" xr:uid="{00000000-0001-0000-0000-000000000000}">
    <filterColumn colId="0">
      <filters>
        <filter val="JNL-TRANSPORT-BIG-C"/>
        <filter val="JNL-TRANSPORT-BIG-D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Jacques Hogan</cp:lastModifiedBy>
  <dcterms:created xsi:type="dcterms:W3CDTF">2025-11-03T17:27:23Z</dcterms:created>
  <dcterms:modified xsi:type="dcterms:W3CDTF">2025-11-05T10:47:17Z</dcterms:modified>
</cp:coreProperties>
</file>