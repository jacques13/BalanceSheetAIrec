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440" windowWidth="29040" windowHeight="15720" tabRatio="600" firstSheet="0" activeTab="0" autoFilterDateGrouping="1"/>
  </bookViews>
  <sheets>
    <sheet name="AP Reconciliation Summary" sheetId="1" state="visible" r:id="rId1"/>
    <sheet name="Reconciliation Detail" sheetId="2" state="visible" r:id="rId2"/>
  </sheets>
  <definedNames/>
  <calcPr calcId="18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System</author>
  </authors>
  <commentList>
    <comment ref="A1" authorId="0" shapeId="0">
      <text>
        <t>Variance present. Evidence required for review.
Generated: 2025-11-05 01:39:45.449898</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4762500" cy="6191250"/>
    <pic>
      <nvPicPr>
        <cNvPr id="2" name="Image 1" descr="Picture"/>
        <cNvPicPr/>
      </nvPicPr>
      <blipFill>
        <a:blip cstate="print" r:embed="rId1"/>
        <a:stretch>
          <a:fillRect/>
        </a:stretch>
      </blipFill>
      <spPr>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49"/>
  <sheetViews>
    <sheetView tabSelected="1" workbookViewId="0">
      <selection activeCell="M14" sqref="M14"/>
    </sheetView>
  </sheetViews>
  <sheetFormatPr baseColWidth="8" defaultRowHeight="14.4"/>
  <sheetData>
    <row r="1">
      <c r="A1" t="inlineStr">
        <is>
          <t>Item</t>
        </is>
      </c>
      <c r="B1" t="inlineStr">
        <is>
          <t>Amount</t>
        </is>
      </c>
    </row>
    <row r="2">
      <c r="A2" t="inlineStr">
        <is>
          <t>Statement Closing Balance</t>
        </is>
      </c>
      <c r="B2" t="n">
        <v>133918.88</v>
      </c>
    </row>
    <row r="3">
      <c r="A3" t="inlineStr">
        <is>
          <t>GL Balance August</t>
        </is>
      </c>
      <c r="B3" t="n">
        <v>-7239.05</v>
      </c>
    </row>
    <row r="4">
      <c r="A4" t="inlineStr">
        <is>
          <t>GL Balance September</t>
        </is>
      </c>
      <c r="B4" t="n">
        <v>133918.88</v>
      </c>
    </row>
    <row r="5">
      <c r="A5" t="inlineStr">
        <is>
          <t>Movement MoM</t>
        </is>
      </c>
      <c r="B5">
        <f>B4-B3</f>
        <v/>
      </c>
    </row>
    <row r="6">
      <c r="A6" t="inlineStr">
        <is>
          <t>Variance</t>
        </is>
      </c>
      <c r="B6">
        <f>B2-B4</f>
        <v/>
      </c>
    </row>
    <row r="7">
      <c r="A7" t="inlineStr">
        <is>
          <t>MoM % Change</t>
        </is>
      </c>
      <c r="B7">
        <f>(B4-B3)/B3*100</f>
        <v/>
      </c>
    </row>
    <row r="8">
      <c r="A8" t="inlineStr">
        <is>
          <t>Reason</t>
        </is>
      </c>
      <c r="B8" s="1" t="inlineStr">
        <is>
          <t>Based on the data provided, the significant movement in the Accounts Payable (AP) balance for account code 2000 from August to September can be attributed to a combination of regular business operations and an unusual, large payment. 
The General Ledger (GL) balance for August was -7239.05, which increased to 133918.88 in September. This represents a month-over-month (MoM) change of 1950.0%. The primary driver of this change is a credit entry of 125000.0 on September 23, 2025, with a document reference INV-TR-9001. This entry is significantly larger than the other entries for the month, which are 3399.36 and 5519.52 respectively. 
Correlating this with the email communications data, an email from logistics@freightco.com on October 21, 2025, mentions a large payment due to severe weather conditions, with the invoice number INV-7816. This could explain the credit entry of 5519.52 on September 24, 2025. However, there is no direct email communication explaining the large credit entry of 125000.0.
The business reason for the movement in the AP balance appears to be the processing of regular invoices for goods and services, as well as an unusually large payment, possibly due to extraordinary circumstances. 
However, there are a few red flags that require further investigation. Firstly, the large credit entry of 125000.0 is not directly explained in the email communications. Secondly, the email regarding the large payment due to severe weather conditions mentions a different invoice number (INV-7816) than the one associated with the large credit entry (INV-TR-9001). 
In conclusion, while the significant movement in the AP balance can be partially explained by regular business operations and an unusual, large payment, there are discrepancies in the data that require further investigation. Specifically, the source and</t>
        </is>
      </c>
    </row>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row r="1">
      <c r="A1" t="inlineStr">
        <is>
          <t>Supporting Invoice Screenshot: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2025-11-04T17:39:45Z</dcterms:created>
  <dcterms:modified xsi:type="dcterms:W3CDTF">2025-11-05T10:47:59Z</dcterms:modified>
  <cp:lastModifiedBy>Jacques Hogan</cp:lastModifiedBy>
</cp:coreProperties>
</file>